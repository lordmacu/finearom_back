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Servi\OneDrive\Escritorio\DOCUMENTOS DE TRABAJO  2025\"/>
    </mc:Choice>
  </mc:AlternateContent>
  <xr:revisionPtr revIDLastSave="0" documentId="13_ncr:1_{5E6C1F13-42E7-4876-AA46-C4CC7E1056B6}" xr6:coauthVersionLast="47" xr6:coauthVersionMax="47" xr10:uidLastSave="{00000000-0000-0000-0000-000000000000}"/>
  <bookViews>
    <workbookView xWindow="-110" yWindow="-110" windowWidth="19420" windowHeight="10300" xr2:uid="{E5A873F7-56B7-43DE-9ABD-66743EEFB545}"/>
  </bookViews>
  <sheets>
    <sheet name="TIPO CONTRIBUYENTE" sheetId="1" r:id="rId1"/>
    <sheet name="CONDICIONALES PARA RETENCIONES" sheetId="2" r:id="rId2"/>
  </sheets>
  <definedNames>
    <definedName name="_xlnm._FilterDatabase" localSheetId="0" hidden="1">'TIPO CONTRIBUYENTE'!$A$1:$J$123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23" i="1" l="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K123" i="1"/>
  <c r="L123" i="1" s="1"/>
  <c r="K122" i="1"/>
  <c r="L122" i="1" s="1"/>
  <c r="K121" i="1"/>
  <c r="L121" i="1" s="1"/>
  <c r="K120" i="1"/>
  <c r="L120" i="1" s="1"/>
  <c r="K119" i="1"/>
  <c r="L119" i="1" s="1"/>
  <c r="K118" i="1"/>
  <c r="L118" i="1" s="1"/>
  <c r="K117" i="1"/>
  <c r="L117" i="1" s="1"/>
  <c r="K116" i="1"/>
  <c r="L116" i="1" s="1"/>
  <c r="K115" i="1"/>
  <c r="L115" i="1" s="1"/>
  <c r="K114" i="1"/>
  <c r="L114" i="1" s="1"/>
  <c r="K113" i="1"/>
  <c r="L113" i="1" s="1"/>
  <c r="K112" i="1"/>
  <c r="L112" i="1" s="1"/>
  <c r="K111" i="1"/>
  <c r="L111" i="1" s="1"/>
  <c r="K110" i="1"/>
  <c r="L110" i="1" s="1"/>
  <c r="K109" i="1"/>
  <c r="L109" i="1" s="1"/>
  <c r="K108" i="1"/>
  <c r="L108" i="1" s="1"/>
  <c r="K107" i="1"/>
  <c r="L107" i="1" s="1"/>
  <c r="K106" i="1"/>
  <c r="L106" i="1" s="1"/>
  <c r="K105" i="1"/>
  <c r="L105" i="1" s="1"/>
  <c r="K104" i="1"/>
  <c r="L104" i="1" s="1"/>
  <c r="K103" i="1"/>
  <c r="L103" i="1" s="1"/>
  <c r="K102" i="1"/>
  <c r="L102" i="1" s="1"/>
  <c r="K101" i="1"/>
  <c r="L101" i="1" s="1"/>
  <c r="K100" i="1"/>
  <c r="L100" i="1" s="1"/>
  <c r="K99" i="1"/>
  <c r="L99" i="1" s="1"/>
  <c r="K98" i="1"/>
  <c r="L98" i="1" s="1"/>
  <c r="K97" i="1"/>
  <c r="L97" i="1" s="1"/>
  <c r="K96" i="1"/>
  <c r="L96" i="1" s="1"/>
  <c r="K95" i="1"/>
  <c r="L95" i="1" s="1"/>
  <c r="K94" i="1"/>
  <c r="L94" i="1" s="1"/>
  <c r="K93" i="1"/>
  <c r="L93" i="1" s="1"/>
  <c r="K92" i="1"/>
  <c r="L92" i="1" s="1"/>
  <c r="K91" i="1"/>
  <c r="L91" i="1" s="1"/>
  <c r="K90" i="1"/>
  <c r="L90" i="1" s="1"/>
  <c r="K89" i="1"/>
  <c r="L89" i="1" s="1"/>
  <c r="K88" i="1"/>
  <c r="L88" i="1" s="1"/>
  <c r="K87" i="1"/>
  <c r="L87" i="1" s="1"/>
  <c r="K86" i="1"/>
  <c r="L86" i="1" s="1"/>
  <c r="K85" i="1"/>
  <c r="L85" i="1" s="1"/>
  <c r="K84" i="1"/>
  <c r="L84" i="1" s="1"/>
  <c r="K83" i="1"/>
  <c r="L83" i="1" s="1"/>
  <c r="K82" i="1"/>
  <c r="L82" i="1" s="1"/>
  <c r="K81" i="1"/>
  <c r="L81" i="1" s="1"/>
  <c r="K80" i="1"/>
  <c r="L80" i="1" s="1"/>
  <c r="K79" i="1"/>
  <c r="L79" i="1" s="1"/>
  <c r="K78" i="1"/>
  <c r="L78" i="1" s="1"/>
  <c r="K77" i="1"/>
  <c r="L77" i="1" s="1"/>
  <c r="K76" i="1"/>
  <c r="L76" i="1" s="1"/>
  <c r="K75" i="1"/>
  <c r="L75" i="1" s="1"/>
  <c r="K74" i="1"/>
  <c r="L74" i="1" s="1"/>
  <c r="K73" i="1"/>
  <c r="L73" i="1" s="1"/>
  <c r="K72" i="1"/>
  <c r="L72" i="1" s="1"/>
  <c r="K71" i="1"/>
  <c r="L71" i="1" s="1"/>
  <c r="K70" i="1"/>
  <c r="L70" i="1" s="1"/>
  <c r="K69" i="1"/>
  <c r="L69" i="1" s="1"/>
  <c r="K68" i="1"/>
  <c r="L68" i="1" s="1"/>
  <c r="K67" i="1"/>
  <c r="L67" i="1" s="1"/>
  <c r="K66" i="1"/>
  <c r="L66" i="1" s="1"/>
  <c r="K65" i="1"/>
  <c r="L65" i="1" s="1"/>
  <c r="K64" i="1"/>
  <c r="L64" i="1" s="1"/>
  <c r="K63" i="1"/>
  <c r="L63" i="1" s="1"/>
  <c r="K62" i="1"/>
  <c r="L62" i="1" s="1"/>
  <c r="K61" i="1"/>
  <c r="L61" i="1" s="1"/>
  <c r="K60" i="1"/>
  <c r="L60" i="1" s="1"/>
  <c r="K59" i="1"/>
  <c r="L59" i="1" s="1"/>
  <c r="K58" i="1"/>
  <c r="L58" i="1" s="1"/>
  <c r="K57" i="1"/>
  <c r="L57" i="1" s="1"/>
  <c r="K56" i="1"/>
  <c r="L56" i="1" s="1"/>
  <c r="K55" i="1"/>
  <c r="L55" i="1" s="1"/>
  <c r="K54" i="1"/>
  <c r="L54" i="1" s="1"/>
  <c r="K53" i="1"/>
  <c r="L53" i="1" s="1"/>
  <c r="K52" i="1"/>
  <c r="L52" i="1" s="1"/>
  <c r="K51" i="1"/>
  <c r="L51" i="1" s="1"/>
  <c r="K50" i="1"/>
  <c r="L50" i="1" s="1"/>
  <c r="K49" i="1"/>
  <c r="L49" i="1" s="1"/>
  <c r="K48" i="1"/>
  <c r="L48" i="1" s="1"/>
  <c r="K47" i="1"/>
  <c r="L47" i="1" s="1"/>
  <c r="K46" i="1"/>
  <c r="L46" i="1" s="1"/>
  <c r="K45" i="1"/>
  <c r="L45" i="1" s="1"/>
  <c r="K44" i="1"/>
  <c r="L44" i="1" s="1"/>
  <c r="K43" i="1"/>
  <c r="L43" i="1" s="1"/>
  <c r="K42" i="1"/>
  <c r="L42" i="1" s="1"/>
  <c r="K41" i="1"/>
  <c r="L41" i="1" s="1"/>
  <c r="K40" i="1"/>
  <c r="L40" i="1" s="1"/>
  <c r="K39" i="1"/>
  <c r="L39" i="1" s="1"/>
  <c r="K38" i="1"/>
  <c r="L38" i="1" s="1"/>
  <c r="K37" i="1"/>
  <c r="L37" i="1" s="1"/>
  <c r="K36" i="1"/>
  <c r="L36" i="1" s="1"/>
  <c r="K35" i="1"/>
  <c r="L35" i="1" s="1"/>
  <c r="K34" i="1"/>
  <c r="L34" i="1" s="1"/>
  <c r="K33" i="1"/>
  <c r="L33" i="1" s="1"/>
  <c r="K32" i="1"/>
  <c r="L32" i="1" s="1"/>
  <c r="K31" i="1"/>
  <c r="L31" i="1" s="1"/>
  <c r="K30" i="1"/>
  <c r="L30" i="1" s="1"/>
  <c r="K29" i="1"/>
  <c r="L29" i="1" s="1"/>
  <c r="K28" i="1"/>
  <c r="L28" i="1" s="1"/>
  <c r="K27" i="1"/>
  <c r="L27" i="1" s="1"/>
  <c r="K26" i="1"/>
  <c r="L26" i="1" s="1"/>
  <c r="K25" i="1"/>
  <c r="L25" i="1" s="1"/>
  <c r="K24" i="1"/>
  <c r="L24" i="1" s="1"/>
  <c r="K23" i="1"/>
  <c r="L23" i="1" s="1"/>
  <c r="K22" i="1"/>
  <c r="L22" i="1" s="1"/>
  <c r="K21" i="1"/>
  <c r="L21" i="1" s="1"/>
  <c r="K20" i="1"/>
  <c r="L20" i="1" s="1"/>
  <c r="K19" i="1"/>
  <c r="L19" i="1" s="1"/>
  <c r="K18" i="1"/>
  <c r="L18" i="1" s="1"/>
  <c r="K17" i="1"/>
  <c r="L17" i="1" s="1"/>
  <c r="K16" i="1"/>
  <c r="L16" i="1" s="1"/>
  <c r="K15" i="1"/>
  <c r="L15" i="1" s="1"/>
  <c r="K14" i="1"/>
  <c r="L14" i="1" s="1"/>
  <c r="K13" i="1"/>
  <c r="L13" i="1" s="1"/>
  <c r="K12" i="1"/>
  <c r="L12" i="1" s="1"/>
  <c r="K11" i="1"/>
  <c r="L11" i="1" s="1"/>
  <c r="K10" i="1"/>
  <c r="L10" i="1" s="1"/>
  <c r="K9" i="1"/>
  <c r="L9" i="1" s="1"/>
  <c r="K8" i="1"/>
  <c r="L8" i="1" s="1"/>
  <c r="K7" i="1"/>
  <c r="L7" i="1" s="1"/>
  <c r="K6" i="1"/>
  <c r="L6" i="1" s="1"/>
  <c r="K5" i="1"/>
  <c r="L5" i="1" s="1"/>
  <c r="K4" i="1"/>
  <c r="L4" i="1" s="1"/>
  <c r="K3" i="1"/>
  <c r="L3" i="1" s="1"/>
  <c r="K2" i="1"/>
  <c r="L2" i="1" s="1"/>
  <c r="M43" i="1" l="1"/>
  <c r="M44" i="1"/>
  <c r="M52" i="1"/>
  <c r="M58" i="1"/>
  <c r="M78" i="1"/>
  <c r="M80" i="1"/>
  <c r="M56" i="1"/>
  <c r="M89" i="1"/>
  <c r="M91" i="1"/>
  <c r="M19" i="1"/>
  <c r="M92" i="1"/>
  <c r="M54" i="1"/>
  <c r="M20" i="1"/>
  <c r="M53" i="1"/>
  <c r="M90" i="1"/>
  <c r="M28" i="1"/>
  <c r="M102" i="1"/>
  <c r="M29" i="1"/>
  <c r="M64" i="1"/>
  <c r="M103" i="1"/>
  <c r="M30" i="1"/>
  <c r="M65" i="1"/>
  <c r="M104" i="1"/>
  <c r="M32" i="1"/>
  <c r="M66" i="1"/>
  <c r="M112" i="1"/>
  <c r="M41" i="1"/>
  <c r="M67" i="1"/>
  <c r="M113" i="1"/>
  <c r="M42" i="1"/>
  <c r="M68" i="1"/>
  <c r="M114" i="1"/>
  <c r="M21" i="1"/>
  <c r="M82" i="1"/>
  <c r="M22" i="1"/>
  <c r="M88" i="1"/>
  <c r="M105" i="1"/>
  <c r="M81" i="1"/>
  <c r="M45" i="1"/>
  <c r="M69" i="1"/>
  <c r="M9" i="1"/>
  <c r="M31" i="1"/>
  <c r="M70" i="1"/>
  <c r="M10" i="1"/>
  <c r="M76" i="1"/>
  <c r="M93" i="1"/>
  <c r="M115" i="1"/>
  <c r="M16" i="1"/>
  <c r="M33" i="1"/>
  <c r="M55" i="1"/>
  <c r="M77" i="1"/>
  <c r="M94" i="1"/>
  <c r="M116" i="1"/>
  <c r="M106" i="1"/>
  <c r="M46" i="1"/>
  <c r="M17" i="1"/>
  <c r="M34" i="1"/>
  <c r="M100" i="1"/>
  <c r="M117" i="1"/>
  <c r="M18" i="1"/>
  <c r="M40" i="1"/>
  <c r="M57" i="1"/>
  <c r="M79" i="1"/>
  <c r="M101" i="1"/>
  <c r="M118" i="1"/>
  <c r="M11" i="1"/>
  <c r="M23" i="1"/>
  <c r="M35" i="1"/>
  <c r="M47" i="1"/>
  <c r="M59" i="1"/>
  <c r="M71" i="1"/>
  <c r="M83" i="1"/>
  <c r="M95" i="1"/>
  <c r="M107" i="1"/>
  <c r="M119" i="1"/>
  <c r="M12" i="1"/>
  <c r="M24" i="1"/>
  <c r="M36" i="1"/>
  <c r="M48" i="1"/>
  <c r="M60" i="1"/>
  <c r="M72" i="1"/>
  <c r="M84" i="1"/>
  <c r="M96" i="1"/>
  <c r="M108" i="1"/>
  <c r="M120" i="1"/>
  <c r="M13" i="1"/>
  <c r="M25" i="1"/>
  <c r="M37" i="1"/>
  <c r="M49" i="1"/>
  <c r="M61" i="1"/>
  <c r="M73" i="1"/>
  <c r="M85" i="1"/>
  <c r="M97" i="1"/>
  <c r="M109" i="1"/>
  <c r="M121" i="1"/>
  <c r="M14" i="1"/>
  <c r="M26" i="1"/>
  <c r="M38" i="1"/>
  <c r="M50" i="1"/>
  <c r="M62" i="1"/>
  <c r="M74" i="1"/>
  <c r="M86" i="1"/>
  <c r="M98" i="1"/>
  <c r="M110" i="1"/>
  <c r="M122" i="1"/>
  <c r="M15" i="1"/>
  <c r="M27" i="1"/>
  <c r="M39" i="1"/>
  <c r="M51" i="1"/>
  <c r="M63" i="1"/>
  <c r="M75" i="1"/>
  <c r="M87" i="1"/>
  <c r="M99" i="1"/>
  <c r="M111" i="1"/>
  <c r="M123" i="1"/>
  <c r="M8" i="1"/>
  <c r="M3" i="1"/>
  <c r="M4" i="1"/>
  <c r="M5" i="1"/>
  <c r="M6" i="1"/>
  <c r="M7" i="1"/>
  <c r="M2" i="1"/>
</calcChain>
</file>

<file path=xl/sharedStrings.xml><?xml version="1.0" encoding="utf-8"?>
<sst xmlns="http://schemas.openxmlformats.org/spreadsheetml/2006/main" count="548" uniqueCount="187">
  <si>
    <t>SUCESORES DE JOSE JESUS RESTREPO Y CIA S. A. CASA LUKER S. A</t>
  </si>
  <si>
    <t>COMERCIALIZADORA INTERNACIONAL CARBONES ANDINOS DE AMERICA S</t>
  </si>
  <si>
    <t>CREATIVIDAD ESTRATEGICA SOCIEDAD POR ACCIONES SIMPLIFICADA C</t>
  </si>
  <si>
    <t>MADRIGAL COMAS JONATHAN DAIRO</t>
  </si>
  <si>
    <t>HURTADO PACHECO WILLIAM</t>
  </si>
  <si>
    <t>BUITRAGO BUITRAGO CARLOS</t>
  </si>
  <si>
    <t>CAMARGO VELASQUEZ JOSE MANUEL</t>
  </si>
  <si>
    <t>LOPEZ SANABRIA PABLO MATIAS</t>
  </si>
  <si>
    <t>PRODIMA S.A</t>
  </si>
  <si>
    <t>SENTIO SA</t>
  </si>
  <si>
    <t>LABORATORIOS RENE CHARDON DEL ECUADOR CIA. LTDA</t>
  </si>
  <si>
    <t>CLEAN AIR SA DE CV</t>
  </si>
  <si>
    <t>AMERICAN BRANDS SA</t>
  </si>
  <si>
    <t>REPRESENTACIONES NAOS SOCIEDAD ANONIMA</t>
  </si>
  <si>
    <t>SYNTEKOCOMPANY S.A.S.</t>
  </si>
  <si>
    <t>LABORATORIO JARELAB SOCIEDAD ANONIMA</t>
  </si>
  <si>
    <t>AROMAS Y MATICES S.A.</t>
  </si>
  <si>
    <t>ENVIRO-TECH SOCIEDAD ANONIMA CERRADA</t>
  </si>
  <si>
    <t>ILKO PERU S.A.C.</t>
  </si>
  <si>
    <t>INDUSTRIAL EQUILAB S.A.</t>
  </si>
  <si>
    <t>PERFUMES FACTORY CA</t>
  </si>
  <si>
    <t>BIOCHEM FARMACEUTICA DE COLOMBIA SA</t>
  </si>
  <si>
    <t>PRODUCTORA DE JABONES S.A.S</t>
  </si>
  <si>
    <t>LABORATORIOS DUBEN BENJUMEA SAS</t>
  </si>
  <si>
    <t>LABORATORIOS ROSS D ELEN SAS</t>
  </si>
  <si>
    <t>BELLEZA EXPRESS S.A.</t>
  </si>
  <si>
    <t>PRODIA S.A.S</t>
  </si>
  <si>
    <t>LABORATORIO INTERNACIONAL DE COLOMBIA S A S</t>
  </si>
  <si>
    <t>SIMONIZ SA</t>
  </si>
  <si>
    <t>MULTINSA S.A.S.</t>
  </si>
  <si>
    <t>FANTASIAS PLASTICAS DE COLOMBIA LTDA</t>
  </si>
  <si>
    <t>COSMETICOS MARLIOU PARIS LTDA</t>
  </si>
  <si>
    <t>OSPINO CAÑAS &amp; CIA SAS</t>
  </si>
  <si>
    <t>PROCESOS 2000 SAS</t>
  </si>
  <si>
    <t>LAURA COSMETICOS LTDA</t>
  </si>
  <si>
    <t>FAMILIA DEL PACIFICO SAS</t>
  </si>
  <si>
    <t>INDUSTRIAS PATOJITO SAS</t>
  </si>
  <si>
    <t>DETER RICO S.A.S</t>
  </si>
  <si>
    <t>PRODUCCION Y GESTION SAS</t>
  </si>
  <si>
    <t>CONSTELACION INDUSTRIAL DEL ASEO S.A.S</t>
  </si>
  <si>
    <t>PROFRANCE E U</t>
  </si>
  <si>
    <t>COSMETIC FASHION CORPORATION S.A.</t>
  </si>
  <si>
    <t>QUIMICOLOR SAS</t>
  </si>
  <si>
    <t>QUIMICA ORION SA</t>
  </si>
  <si>
    <t>AZUL K S A S</t>
  </si>
  <si>
    <t>INDUSTRIAS INCA SAS</t>
  </si>
  <si>
    <t>CABARRIA IQA SAS</t>
  </si>
  <si>
    <t>LABORATORIOS ZOO S A S</t>
  </si>
  <si>
    <t>JABONES EL TIGRE Y ROCA SA</t>
  </si>
  <si>
    <t>FULLER PINTO SA</t>
  </si>
  <si>
    <t>JEAN PASCAL S A S</t>
  </si>
  <si>
    <t>LABORATORIOS BUSSIE S.A.</t>
  </si>
  <si>
    <t>INDUSTRIAS BISONTE SA</t>
  </si>
  <si>
    <t>LABORATORIOS INCOBRA</t>
  </si>
  <si>
    <t>LABORATORIOS RETY DE COLOMBIA S.A.S</t>
  </si>
  <si>
    <t>MCM COMPANY SAS</t>
  </si>
  <si>
    <t>LABORATORIOS CERO SAS</t>
  </si>
  <si>
    <t>EMPRESA DE COSMETICOS Y SERVICIOS SA</t>
  </si>
  <si>
    <t>FRUTALIA DE COLOMBIA SAS</t>
  </si>
  <si>
    <t>ESSENSALE SOCIEDAD POR ACCIONES SIMPLIFICADAS</t>
  </si>
  <si>
    <t>DISTRIBUIDORA HISTRA SAS</t>
  </si>
  <si>
    <t>ARINTIA GROUP SAS</t>
  </si>
  <si>
    <t>LABORATORIOS BELL FRANZ SAS</t>
  </si>
  <si>
    <t>COSMETICOS JOHNVERY S.A.S</t>
  </si>
  <si>
    <t>INDUSTRIAS SAN FIORANO SAS</t>
  </si>
  <si>
    <t>SCALPI COSMETICA SA</t>
  </si>
  <si>
    <t>FLOW CHEM SAS</t>
  </si>
  <si>
    <t>TRADE PASSING S A S</t>
  </si>
  <si>
    <t>PERFUMES Y ESENCIAS FRAICHE SAS</t>
  </si>
  <si>
    <t>COASPHARMA S. A. S.</t>
  </si>
  <si>
    <t>SENSOCODE SAS</t>
  </si>
  <si>
    <t>CARIBEAN ECO SOAPS USUARIO INDUSTRIAL DE BIENES Y SERVICIOS</t>
  </si>
  <si>
    <t>TROPICAL DE COLOMBIA SAS</t>
  </si>
  <si>
    <t>KLAXEN SAS</t>
  </si>
  <si>
    <t>LABORATORIOS DOMECO SAS</t>
  </si>
  <si>
    <t>COMERCIALIZAMOS CE SAS</t>
  </si>
  <si>
    <t>LAS DELICIAS LIMPIADOR DESINFECTANTES SAS</t>
  </si>
  <si>
    <t>SOL FRAGANCE SAS</t>
  </si>
  <si>
    <t>BOUQUET AROMAS Y FRAGANCIAS S.A.S.</t>
  </si>
  <si>
    <t>BALOR SAS</t>
  </si>
  <si>
    <t>CARIBBEAN SUNRISE LABORATORIOS M&amp;F CHEMICAL S SAS</t>
  </si>
  <si>
    <t>MAZIVO GROUP SAS</t>
  </si>
  <si>
    <t>COMERCIALIZADORA GNS S.A.S.</t>
  </si>
  <si>
    <t>LABORATORIOS INDUSTRIALES LPS SAS</t>
  </si>
  <si>
    <t>OZU SAS</t>
  </si>
  <si>
    <t>CERERIAS ESPAÑOLAS EL FARO SAS</t>
  </si>
  <si>
    <t>PRODUCTORA ECOVID S.A.S.</t>
  </si>
  <si>
    <t>BIIVA INTERNATIONAL SAS</t>
  </si>
  <si>
    <t>LABORATORIOS COSMECOL DE COLOMBIA SAS</t>
  </si>
  <si>
    <t>DISTRIBUIDORA ANALOGY ANDINA S A S</t>
  </si>
  <si>
    <t>FULLAROME LIMITADA</t>
  </si>
  <si>
    <t>LABORATORIOS BIOCRESS SAS</t>
  </si>
  <si>
    <t>LATIN-FRANCE LABORATORIOS S.A.S.</t>
  </si>
  <si>
    <t>HOLANDINA ZONA FRANCA SAS</t>
  </si>
  <si>
    <t>GRYNTEC S.A.S.</t>
  </si>
  <si>
    <t>ANTIOQUEÑA DE HELADOS S.A.S.</t>
  </si>
  <si>
    <t>VIRUTEX ILKO COLOMBIA SAS</t>
  </si>
  <si>
    <t>GRUPO AROMA CLEAN S.A.S.</t>
  </si>
  <si>
    <t>DISFRAROMAS ONE SAS</t>
  </si>
  <si>
    <t>QUIMISENSE SAS</t>
  </si>
  <si>
    <t>KANNAX PHARMA SAS</t>
  </si>
  <si>
    <t>LASENOR ANDINA SAS</t>
  </si>
  <si>
    <t>WALABI SAS</t>
  </si>
  <si>
    <t>NOW CLEANY SAS</t>
  </si>
  <si>
    <t>QUIMICOS Y SABORES QYS SAS</t>
  </si>
  <si>
    <t>LA VERANERA COLOMBIA SAS</t>
  </si>
  <si>
    <t>LABORATORIOS CAPIL LOREN SAS</t>
  </si>
  <si>
    <t>FAST MODA SAS</t>
  </si>
  <si>
    <t>BIO GROUP EXPERTS SAS</t>
  </si>
  <si>
    <t>FUNTRITION S.A.S.</t>
  </si>
  <si>
    <t>INNOVO LAB SAS</t>
  </si>
  <si>
    <t>BRAND &amp; SOLUTIONS SAS</t>
  </si>
  <si>
    <t>COVESA LAB SAS</t>
  </si>
  <si>
    <t>DISTRICHEM AROMA SAS</t>
  </si>
  <si>
    <t>ALIADOS DE BELLEZA SAS</t>
  </si>
  <si>
    <t>LABORATORIO DE COSMETICOS JEMILU PP SAS</t>
  </si>
  <si>
    <t>HILALMA COLOMBIA S.A.S.</t>
  </si>
  <si>
    <t>AMSA QUIMICOS SAS</t>
  </si>
  <si>
    <t>PULECIO GALVIS JENNY KATERIN</t>
  </si>
  <si>
    <t>CORREA SARMIENTO SANTIAGO ADOLFO</t>
  </si>
  <si>
    <t>CADENA AGUDELO LINA MARIA</t>
  </si>
  <si>
    <t>GUERRERO CALERO MARIA FERNANDA</t>
  </si>
  <si>
    <t>NIT</t>
  </si>
  <si>
    <t>CLIENTE</t>
  </si>
  <si>
    <t>GRAN CONTRIBUYENTE</t>
  </si>
  <si>
    <t>RESPONSABLE DE IVA</t>
  </si>
  <si>
    <t>NO RESPONSABLE DE IVA</t>
  </si>
  <si>
    <t>CIUDAD</t>
  </si>
  <si>
    <t>EL SALVADOR</t>
  </si>
  <si>
    <t>VENEZUELA</t>
  </si>
  <si>
    <t>YUMBO</t>
  </si>
  <si>
    <t>PIEDECUESTA</t>
  </si>
  <si>
    <t>MOSQUERA</t>
  </si>
  <si>
    <t>X</t>
  </si>
  <si>
    <t>NO RESIDENTE EN PAIS</t>
  </si>
  <si>
    <t>ZONA FRANCA</t>
  </si>
  <si>
    <t>1. Si el cliente es Gran Contribuyente ubicado en la ciudad de Bogotá, deberá aplicarnos 3 retenciones. Retención en la fuente del 2.5% sobre el subtotal de la factura (es decir antes de IVA); Retención de ICA del 0.01104 sobre el subtotal; y por último Retención de IVA del 15% sobre el IVA de la factura correspondiente. </t>
  </si>
  <si>
    <t>2. Si el cliente es Gran Contribuyente ubicado en OTRA ciudad diferente a Bogotá, deberá aplicarnos 2 retenciones. Retención en la fuente del 2.5% sobre el subtotal de la factura y Retención de IVA del 15% sobre el IVA de la factura correspondiente. </t>
  </si>
  <si>
    <t>3. Si el cliente es Responsable de IVA ubicado en la ciudad de Bogotá, deberá aplicarnos 2 retenciones. Retención en la fuente del 2.5% sobre el subtotal de la factura (es decir antes de IVA); Retención de ICA del 0.01104 sobre el subtotal. </t>
  </si>
  <si>
    <t>4. Si el cliente es Responsable de IVA ubicado en OTRA ciudad diferente a Bogotá, solo debe aplicarnos 1 retención. Retención en la fuente del 2.5% sobre el subtotal de la factura. </t>
  </si>
  <si>
    <t>5. Si el cliente es NO responsable de IVA, que generalmente son las personas naturales, no deberá aplicarnos ningún tipo de retención. </t>
  </si>
  <si>
    <t>6. El régimen simple de tributación tampoco debe aplicarnos ningún tipo de retención. </t>
  </si>
  <si>
    <t>Lo anterior aplica únicamente si el subtotal de las facturas es igual o mayor a 1.345.000 pesos para el año 2025. Este valor cambia anualmente según el valor de la UVT de cada año. También tener en cuenta que hay contribuyentes ubicados en ZONA FRANCA, los cuales señalé en el archivo también, ya que a estos clientes no se les factura con IVA. Adicionalmente hay unos clientes, normalmente los laboratorios farmacéuticos, a los que no se les factura IVA según la referencia que nos compran porque están excluidas esas referencias por resolución DIAN. Ejemplos de estos clientes son Laboratorio Internacional de Colombia, Laboratorios Zoo SAS, Biochem Farmacéutica de Colombia SA, Laboratorios Bussie SA,  Coaspharma S.A.S.</t>
  </si>
  <si>
    <t>TIPO CONTRIBUYENTE</t>
  </si>
  <si>
    <t>MEDELLIN</t>
  </si>
  <si>
    <t>SAN JOSE</t>
  </si>
  <si>
    <t>BUCARAMANGA</t>
  </si>
  <si>
    <t>BOGOTA</t>
  </si>
  <si>
    <t>LIMA</t>
  </si>
  <si>
    <t>CALI</t>
  </si>
  <si>
    <t>ITAGUI</t>
  </si>
  <si>
    <t>CAJICA</t>
  </si>
  <si>
    <t>PALMIRA</t>
  </si>
  <si>
    <t>SANTA MARTA</t>
  </si>
  <si>
    <t>EL ZULIA</t>
  </si>
  <si>
    <t>SINCELEJO</t>
  </si>
  <si>
    <t>FUNZA</t>
  </si>
  <si>
    <t>CUCUTA</t>
  </si>
  <si>
    <t>GUACHENE</t>
  </si>
  <si>
    <t>TENJO</t>
  </si>
  <si>
    <t>BARRANQUILLA</t>
  </si>
  <si>
    <t>CAUCA</t>
  </si>
  <si>
    <t>SABANETA</t>
  </si>
  <si>
    <t>ENVIGADO</t>
  </si>
  <si>
    <t>SOACHA</t>
  </si>
  <si>
    <t>VALLEDUPAR</t>
  </si>
  <si>
    <t>HEREDIA</t>
  </si>
  <si>
    <t>MADRID</t>
  </si>
  <si>
    <t>CURUMANI</t>
  </si>
  <si>
    <t>QUITO</t>
  </si>
  <si>
    <t>COTA</t>
  </si>
  <si>
    <t>BARRANCABERMEJA</t>
  </si>
  <si>
    <t>GIRARDOTA</t>
  </si>
  <si>
    <t>ROLDANILLO</t>
  </si>
  <si>
    <t>MONTERIA</t>
  </si>
  <si>
    <t>CIUDAD DE PANAMA</t>
  </si>
  <si>
    <t>LA ESTRELLA</t>
  </si>
  <si>
    <t>CIUDAD DE GUATEMALA</t>
  </si>
  <si>
    <t>MANIZALES</t>
  </si>
  <si>
    <t>CALOTO</t>
  </si>
  <si>
    <t>IVA</t>
  </si>
  <si>
    <t>RETE FUENTE</t>
  </si>
  <si>
    <t>RETE IVA</t>
  </si>
  <si>
    <t>ICA</t>
  </si>
  <si>
    <t>RETEFUENTE</t>
  </si>
  <si>
    <t>VENTA DE CONTADO</t>
  </si>
  <si>
    <t>PROFORMA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</si>
</sst>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Verdana"/>
      <family val="2"/>
    </font>
    <font>
      <b/>
      <sz val="11"/>
      <color theme="1"/>
      <name val="Calibri"/>
      <family val="2"/>
      <scheme val="minor"/>
    </font>
    <font>
      <sz val="11"/>
      <color theme="1"/>
      <name val="Calibri"/>
      <family val="2"/>
      <scheme val="minor"/>
    </font>
    <font>
      <sz val="12"/>
      <color rgb="FF222222"/>
      <name val="Arial"/>
      <family val="2"/>
    </font>
    <font>
      <b/>
      <sz val="12"/>
      <color rgb="FF222222"/>
      <name val="Arial"/>
      <family val="2"/>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6">
    <xf numFmtId="0" fontId="0" fillId="0" borderId="0" xfId="0"/>
    <xf numFmtId="0" fontId="1" fillId="0" borderId="0" xfId="0" applyFont="1"/>
    <xf numFmtId="0" fontId="2" fillId="0" borderId="0" xfId="0" applyFont="1"/>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left"/>
    </xf>
    <xf numFmtId="0" fontId="0" fillId="0" borderId="0" xfId="0" applyAlignment="1">
      <alignment horizontal="left"/>
    </xf>
    <xf numFmtId="0" fontId="1" fillId="2" borderId="0" xfId="0" applyFont="1" applyFill="1"/>
    <xf numFmtId="0" fontId="0" fillId="2" borderId="0" xfId="0" applyFill="1"/>
    <xf numFmtId="0" fontId="0" fillId="2" borderId="0" xfId="0" applyFill="1" applyAlignment="1">
      <alignment horizontal="left"/>
    </xf>
    <xf numFmtId="0" fontId="0" fillId="0" borderId="0" xfId="0" applyAlignment="1"/>
    <xf numFmtId="0" fontId="4" fillId="0" borderId="0" xfId="0" applyFont="1" applyAlignment="1">
      <alignment vertical="center"/>
    </xf>
    <xf numFmtId="0" fontId="5" fillId="0" borderId="0" xfId="0" applyFont="1" applyAlignment="1">
      <alignment vertical="center"/>
    </xf>
    <xf numFmtId="0" fontId="0" fillId="2" borderId="0" xfId="0" applyFill="1" applyAlignment="1">
      <alignment horizontal="center"/>
    </xf>
    <xf numFmtId="10" fontId="0" fillId="0" borderId="0" xfId="1" applyNumberFormat="1" applyFont="1"/>
    <xf numFmtId="0" fontId="0" fillId="0" borderId="0" xfId="0" applyNumberForma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2AB93-0CA9-4CE5-B501-A0B6ECF24C37}">
  <dimension ref="A1:S123"/>
  <sheetViews>
    <sheetView tabSelected="1" zoomScale="80" zoomScaleNormal="80" workbookViewId="0">
      <pane ySplit="1" topLeftCell="A2" activePane="bottomLeft" state="frozen"/>
      <selection pane="bottomLeft" activeCell="C50" sqref="C50"/>
    </sheetView>
  </sheetViews>
  <sheetFormatPr baseColWidth="10" defaultRowHeight="14.5" x14ac:dyDescent="0.35"/>
  <cols>
    <col min="1" max="1" width="16.81640625" customWidth="1"/>
    <col min="2" max="2" width="45.26953125" customWidth="1"/>
    <col min="3" max="3" width="19.90625" style="4" customWidth="1"/>
    <col min="4" max="4" width="17.453125" style="6" customWidth="1"/>
    <col min="5" max="5" width="22.453125" style="4" customWidth="1"/>
    <col min="6" max="6" width="22.90625" style="4" hidden="1" customWidth="1"/>
    <col min="7" max="7" width="24.54296875" style="4" hidden="1" customWidth="1"/>
    <col min="8" max="8" width="28" style="4" hidden="1" customWidth="1"/>
    <col min="9" max="9" width="25.08984375" style="4" hidden="1" customWidth="1"/>
    <col min="10" max="10" width="17" customWidth="1"/>
    <col min="11" max="11" width="16.81640625" customWidth="1"/>
    <col min="12" max="12" width="15.453125" bestFit="1" customWidth="1"/>
    <col min="13" max="14" width="18.36328125" customWidth="1"/>
  </cols>
  <sheetData>
    <row r="1" spans="1:19" s="2" customFormat="1" x14ac:dyDescent="0.35">
      <c r="A1" s="2" t="s">
        <v>122</v>
      </c>
      <c r="B1" s="2" t="s">
        <v>123</v>
      </c>
      <c r="C1" s="3" t="s">
        <v>185</v>
      </c>
      <c r="D1" s="5" t="s">
        <v>127</v>
      </c>
      <c r="E1" s="3" t="s">
        <v>143</v>
      </c>
      <c r="F1" s="3" t="s">
        <v>124</v>
      </c>
      <c r="G1" s="3" t="s">
        <v>125</v>
      </c>
      <c r="H1" s="3" t="s">
        <v>126</v>
      </c>
      <c r="I1" s="3" t="s">
        <v>134</v>
      </c>
      <c r="J1" s="2" t="s">
        <v>135</v>
      </c>
      <c r="K1" s="2" t="s">
        <v>180</v>
      </c>
      <c r="L1" s="2" t="s">
        <v>184</v>
      </c>
      <c r="M1" s="2" t="s">
        <v>182</v>
      </c>
      <c r="N1" s="2" t="s">
        <v>183</v>
      </c>
    </row>
    <row r="2" spans="1:19" ht="15.5" x14ac:dyDescent="0.35">
      <c r="A2" s="1">
        <v>901656380</v>
      </c>
      <c r="B2" t="s">
        <v>114</v>
      </c>
      <c r="D2" s="6" t="s">
        <v>144</v>
      </c>
      <c r="E2" s="4" t="s">
        <v>125</v>
      </c>
      <c r="G2" s="4" t="s">
        <v>133</v>
      </c>
      <c r="K2" s="14" t="str">
        <f>IF(E2=$E$3,"",IF(J2=$J$21,"",IF(E2=$E$19,"",$Q$2&amp;":"&amp;$R$2)))</f>
        <v>IVA:19</v>
      </c>
      <c r="L2" t="str">
        <f>IF(K2="",IF(J2=$J$21,Q$3&amp;":"&amp;$R$3,""),$Q$3&amp;":"&amp;$R$3)</f>
        <v>RETE FUENTE:2,5</v>
      </c>
      <c r="M2" t="str">
        <f>IF(K2="","",IF(E2=$E$8,$Q$4&amp;":"&amp;$R$4,""))</f>
        <v/>
      </c>
      <c r="N2" t="str">
        <f>IF(D2="BOGOTA",$Q$5&amp;":"&amp;$R$5,"")</f>
        <v/>
      </c>
      <c r="Q2" t="s">
        <v>180</v>
      </c>
      <c r="R2">
        <v>19</v>
      </c>
      <c r="S2" s="11" t="s">
        <v>136</v>
      </c>
    </row>
    <row r="3" spans="1:19" ht="15.5" x14ac:dyDescent="0.35">
      <c r="A3" s="1">
        <v>444444528</v>
      </c>
      <c r="B3" t="s">
        <v>12</v>
      </c>
      <c r="D3" s="6" t="s">
        <v>145</v>
      </c>
      <c r="E3" s="4" t="s">
        <v>134</v>
      </c>
      <c r="I3" s="4" t="s">
        <v>133</v>
      </c>
      <c r="K3" s="14" t="str">
        <f>IF(E3=$E$3,"",IF(J3=$J$21,"",IF(E3=$E$19,"",$Q$2&amp;":"&amp;$R$2)))</f>
        <v/>
      </c>
      <c r="L3" t="str">
        <f>IF(K3="",IF(J3=$J$21,Q$3&amp;":"&amp;$R$3,""),$Q$3&amp;":"&amp;$R$3)</f>
        <v/>
      </c>
      <c r="M3" t="str">
        <f>IF(K3="","",IF(E3=$E$8,$Q$4&amp;":"&amp;$R$4,""))</f>
        <v/>
      </c>
      <c r="N3" t="str">
        <f>IF(D3="BOGOTA",$Q$5&amp;":"&amp;$R$5,"")</f>
        <v/>
      </c>
      <c r="Q3" t="s">
        <v>181</v>
      </c>
      <c r="R3" s="15">
        <v>2.5</v>
      </c>
      <c r="S3" s="11" t="s">
        <v>137</v>
      </c>
    </row>
    <row r="4" spans="1:19" ht="15.5" x14ac:dyDescent="0.35">
      <c r="A4" s="1">
        <v>901747453</v>
      </c>
      <c r="B4" t="s">
        <v>117</v>
      </c>
      <c r="C4" s="4" t="s">
        <v>186</v>
      </c>
      <c r="D4" s="6" t="s">
        <v>146</v>
      </c>
      <c r="E4" s="4" t="s">
        <v>125</v>
      </c>
      <c r="G4" s="4" t="s">
        <v>133</v>
      </c>
      <c r="K4" s="14" t="str">
        <f>IF(E4=$E$3,"",IF(J4=$J$21,"",IF(E4=$E$19,"",$Q$2&amp;":"&amp;$R$2)))</f>
        <v>IVA:19</v>
      </c>
      <c r="L4" t="str">
        <f>IF(K4="",IF(J4=$J$21,Q$3&amp;":"&amp;$R$3,""),$Q$3&amp;":"&amp;$R$3)</f>
        <v>RETE FUENTE:2,5</v>
      </c>
      <c r="M4" t="str">
        <f>IF(K4="","",IF(E4=$E$8,$Q$4&amp;":"&amp;$R$4,""))</f>
        <v/>
      </c>
      <c r="N4" t="str">
        <f>IF(D4="BOGOTA",$Q$5&amp;":"&amp;$R$5,"")</f>
        <v/>
      </c>
      <c r="Q4" t="s">
        <v>182</v>
      </c>
      <c r="R4" s="15">
        <v>2.85</v>
      </c>
      <c r="S4" s="11" t="s">
        <v>138</v>
      </c>
    </row>
    <row r="5" spans="1:19" ht="15.5" x14ac:dyDescent="0.35">
      <c r="A5" s="1">
        <v>900986646</v>
      </c>
      <c r="B5" t="s">
        <v>95</v>
      </c>
      <c r="D5" s="6" t="s">
        <v>144</v>
      </c>
      <c r="E5" s="4" t="s">
        <v>125</v>
      </c>
      <c r="G5" s="4" t="s">
        <v>133</v>
      </c>
      <c r="K5" s="14" t="str">
        <f>IF(E5=$E$3,"",IF(J5=$J$21,"",IF(E5=$E$19,"",$Q$2&amp;":"&amp;$R$2)))</f>
        <v>IVA:19</v>
      </c>
      <c r="L5" t="str">
        <f>IF(K5="",IF(J5=$J$21,Q$3&amp;":"&amp;$R$3,""),$Q$3&amp;":"&amp;$R$3)</f>
        <v>RETE FUENTE:2,5</v>
      </c>
      <c r="M5" t="str">
        <f>IF(K5="","",IF(E5=$E$8,$Q$4&amp;":"&amp;$R$4,""))</f>
        <v/>
      </c>
      <c r="N5" t="str">
        <f>IF(D5="BOGOTA",$Q$5&amp;":"&amp;$R$5,"")</f>
        <v/>
      </c>
      <c r="Q5" t="s">
        <v>183</v>
      </c>
      <c r="R5" s="15">
        <v>1.1040000000000001</v>
      </c>
      <c r="S5" s="11" t="s">
        <v>139</v>
      </c>
    </row>
    <row r="6" spans="1:19" ht="15.5" x14ac:dyDescent="0.35">
      <c r="A6" s="1">
        <v>900117244</v>
      </c>
      <c r="B6" t="s">
        <v>61</v>
      </c>
      <c r="C6" s="4" t="s">
        <v>186</v>
      </c>
      <c r="D6" s="6" t="s">
        <v>147</v>
      </c>
      <c r="E6" s="4" t="s">
        <v>125</v>
      </c>
      <c r="G6" s="4" t="s">
        <v>133</v>
      </c>
      <c r="K6" s="14" t="str">
        <f>IF(E6=$E$3,"",IF(J6=$J$21,"",IF(E6=$E$19,"",$Q$2&amp;":"&amp;$R$2)))</f>
        <v>IVA:19</v>
      </c>
      <c r="L6" t="str">
        <f>IF(K6="",IF(J6=$J$21,Q$3&amp;":"&amp;$R$3,""),$Q$3&amp;":"&amp;$R$3)</f>
        <v>RETE FUENTE:2,5</v>
      </c>
      <c r="M6" t="str">
        <f>IF(K6="","",IF(E6=$E$8,$Q$4&amp;":"&amp;$R$4,""))</f>
        <v/>
      </c>
      <c r="N6" t="str">
        <f>IF(D6="BOGOTA",$Q$5&amp;":"&amp;$R$5,"")</f>
        <v>ICA:1,104</v>
      </c>
      <c r="R6" s="15">
        <v>0</v>
      </c>
      <c r="S6" s="11" t="s">
        <v>140</v>
      </c>
    </row>
    <row r="7" spans="1:19" ht="15.5" x14ac:dyDescent="0.35">
      <c r="A7" s="1">
        <v>444444578</v>
      </c>
      <c r="B7" t="s">
        <v>16</v>
      </c>
      <c r="D7" s="6" t="s">
        <v>148</v>
      </c>
      <c r="E7" s="4" t="s">
        <v>134</v>
      </c>
      <c r="I7" s="4" t="s">
        <v>133</v>
      </c>
      <c r="K7" s="14" t="str">
        <f>IF(E7=$E$3,"",IF(J7=$J$21,"",IF(E7=$E$19,"",$Q$2&amp;":"&amp;$R$2)))</f>
        <v/>
      </c>
      <c r="L7" t="str">
        <f>IF(K7="",IF(J7=$J$21,Q$3&amp;":"&amp;$R$3,""),$Q$3&amp;":"&amp;$R$3)</f>
        <v/>
      </c>
      <c r="M7" t="str">
        <f>IF(K7="","",IF(E7=$E$8,$Q$4&amp;":"&amp;$R$4,""))</f>
        <v/>
      </c>
      <c r="N7" t="str">
        <f>IF(D7="BOGOTA",$Q$5&amp;":"&amp;$R$5,"")</f>
        <v/>
      </c>
      <c r="S7" s="11" t="s">
        <v>141</v>
      </c>
    </row>
    <row r="8" spans="1:19" x14ac:dyDescent="0.35">
      <c r="A8" s="1">
        <v>860000135</v>
      </c>
      <c r="B8" t="s">
        <v>44</v>
      </c>
      <c r="D8" s="6" t="s">
        <v>147</v>
      </c>
      <c r="E8" s="4" t="s">
        <v>124</v>
      </c>
      <c r="F8" s="4" t="s">
        <v>133</v>
      </c>
      <c r="K8" s="14" t="str">
        <f>IF(E8=$E$3,"",IF(J8=$J$21,"",IF(E8=$E$19,"",$Q$2&amp;":"&amp;$R$2)))</f>
        <v>IVA:19</v>
      </c>
      <c r="L8" t="str">
        <f>IF(K8="",IF(J8=$J$21,Q$3&amp;":"&amp;$R$3,""),$Q$3&amp;":"&amp;$R$3)</f>
        <v>RETE FUENTE:2,5</v>
      </c>
      <c r="M8" t="str">
        <f>IF(K8="","",IF(E8=$E$8,$Q$4&amp;":"&amp;$R$4,""))</f>
        <v>RETE IVA:2,85</v>
      </c>
      <c r="N8" t="str">
        <f>IF(D8="BOGOTA",$Q$5&amp;":"&amp;$R$5,"")</f>
        <v>ICA:1,104</v>
      </c>
    </row>
    <row r="9" spans="1:19" x14ac:dyDescent="0.35">
      <c r="A9" s="1">
        <v>900463507</v>
      </c>
      <c r="B9" t="s">
        <v>79</v>
      </c>
      <c r="D9" s="6" t="s">
        <v>144</v>
      </c>
      <c r="E9" s="4" t="s">
        <v>124</v>
      </c>
      <c r="F9" s="4" t="s">
        <v>133</v>
      </c>
      <c r="K9" s="14" t="str">
        <f>IF(E9=$E$3,"",IF(J9=$J$21,"",IF(E9=$E$19,"",$Q$2&amp;":"&amp;$R$2)))</f>
        <v>IVA:19</v>
      </c>
      <c r="L9" t="str">
        <f>IF(K9="",IF(J9=$J$21,Q$3&amp;":"&amp;$R$3,""),$Q$3&amp;":"&amp;$R$3)</f>
        <v>RETE FUENTE:2,5</v>
      </c>
      <c r="M9" t="str">
        <f>IF(K9="","",IF(E9=$E$8,$Q$4&amp;":"&amp;$R$4,""))</f>
        <v>RETE IVA:2,85</v>
      </c>
      <c r="N9" t="str">
        <f>IF(D9="BOGOTA",$Q$5&amp;":"&amp;$R$5,"")</f>
        <v/>
      </c>
    </row>
    <row r="10" spans="1:19" x14ac:dyDescent="0.35">
      <c r="A10" s="1">
        <v>800118334</v>
      </c>
      <c r="B10" t="s">
        <v>25</v>
      </c>
      <c r="D10" s="6" t="s">
        <v>149</v>
      </c>
      <c r="E10" s="4" t="s">
        <v>124</v>
      </c>
      <c r="F10" s="4" t="s">
        <v>133</v>
      </c>
      <c r="K10" s="14" t="str">
        <f>IF(E10=$E$3,"",IF(J10=$J$21,"",IF(E10=$E$19,"",$Q$2&amp;":"&amp;$R$2)))</f>
        <v>IVA:19</v>
      </c>
      <c r="L10" t="str">
        <f>IF(K10="",IF(J10=$J$21,Q$3&amp;":"&amp;$R$3,""),$Q$3&amp;":"&amp;$R$3)</f>
        <v>RETE FUENTE:2,5</v>
      </c>
      <c r="M10" t="str">
        <f>IF(K10="","",IF(E10=$E$8,$Q$4&amp;":"&amp;$R$4,""))</f>
        <v>RETE IVA:2,85</v>
      </c>
      <c r="N10" t="str">
        <f>IF(D10="BOGOTA",$Q$5&amp;":"&amp;$R$5,"")</f>
        <v/>
      </c>
    </row>
    <row r="11" spans="1:19" x14ac:dyDescent="0.35">
      <c r="A11" s="1">
        <v>900817318</v>
      </c>
      <c r="B11" t="s">
        <v>87</v>
      </c>
      <c r="D11" s="6" t="s">
        <v>147</v>
      </c>
      <c r="E11" s="4" t="s">
        <v>125</v>
      </c>
      <c r="G11" s="4" t="s">
        <v>133</v>
      </c>
      <c r="K11" s="14" t="str">
        <f>IF(E11=$E$3,"",IF(J11=$J$21,"",IF(E11=$E$19,"",$Q$2&amp;":"&amp;$R$2)))</f>
        <v>IVA:19</v>
      </c>
      <c r="L11" t="str">
        <f>IF(K11="",IF(J11=$J$21,Q$3&amp;":"&amp;$R$3,""),$Q$3&amp;":"&amp;$R$3)</f>
        <v>RETE FUENTE:2,5</v>
      </c>
      <c r="M11" t="str">
        <f>IF(K11="","",IF(E11=$E$8,$Q$4&amp;":"&amp;$R$4,""))</f>
        <v/>
      </c>
      <c r="N11" t="str">
        <f>IF(D11="BOGOTA",$Q$5&amp;":"&amp;$R$5,"")</f>
        <v>ICA:1,104</v>
      </c>
    </row>
    <row r="12" spans="1:19" x14ac:dyDescent="0.35">
      <c r="A12" s="1">
        <v>901410487</v>
      </c>
      <c r="B12" t="s">
        <v>108</v>
      </c>
      <c r="D12" s="6" t="s">
        <v>150</v>
      </c>
      <c r="E12" s="4" t="s">
        <v>125</v>
      </c>
      <c r="G12" s="4" t="s">
        <v>133</v>
      </c>
      <c r="K12" s="14" t="str">
        <f>IF(E12=$E$3,"",IF(J12=$J$21,"",IF(E12=$E$19,"",$Q$2&amp;":"&amp;$R$2)))</f>
        <v>IVA:19</v>
      </c>
      <c r="L12" t="str">
        <f>IF(K12="",IF(J12=$J$21,Q$3&amp;":"&amp;$R$3,""),$Q$3&amp;":"&amp;$R$3)</f>
        <v>RETE FUENTE:2,5</v>
      </c>
      <c r="M12" t="str">
        <f>IF(K12="","",IF(E12=$E$8,$Q$4&amp;":"&amp;$R$4,""))</f>
        <v/>
      </c>
      <c r="N12" t="str">
        <f>IF(D12="BOGOTA",$Q$5&amp;":"&amp;$R$5,"")</f>
        <v/>
      </c>
    </row>
    <row r="13" spans="1:19" x14ac:dyDescent="0.35">
      <c r="A13" s="1">
        <v>800032484</v>
      </c>
      <c r="B13" t="s">
        <v>21</v>
      </c>
      <c r="D13" s="6" t="s">
        <v>147</v>
      </c>
      <c r="E13" s="4" t="s">
        <v>125</v>
      </c>
      <c r="G13" s="4" t="s">
        <v>133</v>
      </c>
      <c r="K13" s="14" t="str">
        <f>IF(E13=$E$3,"",IF(J13=$J$21,"",IF(E13=$E$19,"",$Q$2&amp;":"&amp;$R$2)))</f>
        <v>IVA:19</v>
      </c>
      <c r="L13" t="str">
        <f>IF(K13="",IF(J13=$J$21,Q$3&amp;":"&amp;$R$3,""),$Q$3&amp;":"&amp;$R$3)</f>
        <v>RETE FUENTE:2,5</v>
      </c>
      <c r="M13" t="str">
        <f>IF(K13="","",IF(E13=$E$8,$Q$4&amp;":"&amp;$R$4,""))</f>
        <v/>
      </c>
      <c r="N13" t="str">
        <f>IF(D13="BOGOTA",$Q$5&amp;":"&amp;$R$5,"")</f>
        <v>ICA:1,104</v>
      </c>
    </row>
    <row r="14" spans="1:19" x14ac:dyDescent="0.35">
      <c r="A14" s="1">
        <v>900457919</v>
      </c>
      <c r="B14" t="s">
        <v>78</v>
      </c>
      <c r="D14" s="6" t="s">
        <v>144</v>
      </c>
      <c r="E14" s="4" t="s">
        <v>125</v>
      </c>
      <c r="G14" s="4" t="s">
        <v>133</v>
      </c>
      <c r="K14" s="14" t="str">
        <f>IF(E14=$E$3,"",IF(J14=$J$21,"",IF(E14=$E$19,"",$Q$2&amp;":"&amp;$R$2)))</f>
        <v>IVA:19</v>
      </c>
      <c r="L14" t="str">
        <f>IF(K14="",IF(J14=$J$21,Q$3&amp;":"&amp;$R$3,""),$Q$3&amp;":"&amp;$R$3)</f>
        <v>RETE FUENTE:2,5</v>
      </c>
      <c r="M14" t="str">
        <f>IF(K14="","",IF(E14=$E$8,$Q$4&amp;":"&amp;$R$4,""))</f>
        <v/>
      </c>
      <c r="N14" t="str">
        <f>IF(D14="BOGOTA",$Q$5&amp;":"&amp;$R$5,"")</f>
        <v/>
      </c>
    </row>
    <row r="15" spans="1:19" x14ac:dyDescent="0.35">
      <c r="A15" s="1">
        <v>901493654</v>
      </c>
      <c r="B15" t="s">
        <v>111</v>
      </c>
      <c r="C15" s="4" t="s">
        <v>186</v>
      </c>
      <c r="D15" s="6" t="s">
        <v>147</v>
      </c>
      <c r="E15" s="4" t="s">
        <v>125</v>
      </c>
      <c r="G15" s="4" t="s">
        <v>133</v>
      </c>
      <c r="K15" s="14" t="str">
        <f>IF(E15=$E$3,"",IF(J15=$J$21,"",IF(E15=$E$19,"",$Q$2&amp;":"&amp;$R$2)))</f>
        <v>IVA:19</v>
      </c>
      <c r="L15" t="str">
        <f>IF(K15="",IF(J15=$J$21,Q$3&amp;":"&amp;$R$3,""),$Q$3&amp;":"&amp;$R$3)</f>
        <v>RETE FUENTE:2,5</v>
      </c>
      <c r="M15" t="str">
        <f>IF(K15="","",IF(E15=$E$8,$Q$4&amp;":"&amp;$R$4,""))</f>
        <v/>
      </c>
      <c r="N15" t="str">
        <f>IF(D15="BOGOTA",$Q$5&amp;":"&amp;$R$5,"")</f>
        <v>ICA:1,104</v>
      </c>
    </row>
    <row r="16" spans="1:19" x14ac:dyDescent="0.35">
      <c r="A16" s="1">
        <v>79421317</v>
      </c>
      <c r="B16" t="s">
        <v>5</v>
      </c>
      <c r="D16" s="6" t="s">
        <v>147</v>
      </c>
      <c r="E16" s="4" t="s">
        <v>125</v>
      </c>
      <c r="G16" s="4" t="s">
        <v>133</v>
      </c>
      <c r="K16" s="14" t="str">
        <f>IF(E16=$E$3,"",IF(J16=$J$21,"",IF(E16=$E$19,"",$Q$2&amp;":"&amp;$R$2)))</f>
        <v>IVA:19</v>
      </c>
      <c r="L16" t="str">
        <f>IF(K16="",IF(J16=$J$21,Q$3&amp;":"&amp;$R$3,""),$Q$3&amp;":"&amp;$R$3)</f>
        <v>RETE FUENTE:2,5</v>
      </c>
      <c r="M16" t="str">
        <f>IF(K16="","",IF(E16=$E$8,$Q$4&amp;":"&amp;$R$4,""))</f>
        <v/>
      </c>
      <c r="N16" t="str">
        <f>IF(D16="BOGOTA",$Q$5&amp;":"&amp;$R$5,"")</f>
        <v>ICA:1,104</v>
      </c>
    </row>
    <row r="17" spans="1:14" x14ac:dyDescent="0.35">
      <c r="A17" s="1">
        <v>860001978</v>
      </c>
      <c r="B17" t="s">
        <v>46</v>
      </c>
      <c r="D17" s="6" t="s">
        <v>151</v>
      </c>
      <c r="E17" s="4" t="s">
        <v>125</v>
      </c>
      <c r="G17" s="4" t="s">
        <v>133</v>
      </c>
      <c r="K17" s="14" t="str">
        <f>IF(E17=$E$3,"",IF(J17=$J$21,"",IF(E17=$E$19,"",$Q$2&amp;":"&amp;$R$2)))</f>
        <v>IVA:19</v>
      </c>
      <c r="L17" t="str">
        <f>IF(K17="",IF(J17=$J$21,Q$3&amp;":"&amp;$R$3,""),$Q$3&amp;":"&amp;$R$3)</f>
        <v>RETE FUENTE:2,5</v>
      </c>
      <c r="M17" t="str">
        <f>IF(K17="","",IF(E17=$E$8,$Q$4&amp;":"&amp;$R$4,""))</f>
        <v/>
      </c>
      <c r="N17" t="str">
        <f>IF(D17="BOGOTA",$Q$5&amp;":"&amp;$R$5,"")</f>
        <v/>
      </c>
    </row>
    <row r="18" spans="1:14" s="8" customFormat="1" x14ac:dyDescent="0.35">
      <c r="A18" s="1">
        <v>1113675100</v>
      </c>
      <c r="B18" t="s">
        <v>120</v>
      </c>
      <c r="C18" s="4" t="s">
        <v>186</v>
      </c>
      <c r="D18" s="6" t="s">
        <v>152</v>
      </c>
      <c r="E18" s="4" t="s">
        <v>126</v>
      </c>
      <c r="F18" s="4"/>
      <c r="G18" s="4"/>
      <c r="H18" s="4" t="s">
        <v>133</v>
      </c>
      <c r="I18" s="4"/>
      <c r="J18"/>
      <c r="K18" s="14" t="str">
        <f>IF(E18=$E$3,"",IF(J18=$J$21,"",IF(E18=$E$19,"",$Q$2&amp;":"&amp;$R$2)))</f>
        <v/>
      </c>
      <c r="L18" t="str">
        <f>IF(K18="",IF(J18=$J$21,Q$3&amp;":"&amp;$R$3,""),$Q$3&amp;":"&amp;$R$3)</f>
        <v/>
      </c>
      <c r="M18" t="str">
        <f>IF(K18="","",IF(E18=$E$8,$Q$4&amp;":"&amp;$R$4,""))</f>
        <v/>
      </c>
      <c r="N18" t="str">
        <f>IF(D18="BOGOTA",$Q$5&amp;":"&amp;$R$5,"")</f>
        <v/>
      </c>
    </row>
    <row r="19" spans="1:14" x14ac:dyDescent="0.35">
      <c r="A19" s="1">
        <v>79591350</v>
      </c>
      <c r="B19" t="s">
        <v>6</v>
      </c>
      <c r="C19" s="4" t="s">
        <v>186</v>
      </c>
      <c r="D19" s="6" t="s">
        <v>147</v>
      </c>
      <c r="E19" s="4" t="s">
        <v>126</v>
      </c>
      <c r="H19" s="4" t="s">
        <v>133</v>
      </c>
      <c r="K19" s="14" t="str">
        <f>IF(E19=$E$3,"",IF(J19=$J$21,"",IF(E19=$E$19,"",$Q$2&amp;":"&amp;$R$2)))</f>
        <v/>
      </c>
      <c r="L19" t="str">
        <f>IF(K19="",IF(J19=$J$21,Q$3&amp;":"&amp;$R$3,""),$Q$3&amp;":"&amp;$R$3)</f>
        <v/>
      </c>
      <c r="M19" t="str">
        <f>IF(K19="","",IF(E19=$E$8,$Q$4&amp;":"&amp;$R$4,""))</f>
        <v/>
      </c>
      <c r="N19" t="str">
        <f>IF(D19="BOGOTA",$Q$5&amp;":"&amp;$R$5,"")</f>
        <v>ICA:1,104</v>
      </c>
    </row>
    <row r="20" spans="1:14" x14ac:dyDescent="0.35">
      <c r="A20" s="1">
        <v>900466275</v>
      </c>
      <c r="B20" t="s">
        <v>80</v>
      </c>
      <c r="D20" s="6" t="s">
        <v>144</v>
      </c>
      <c r="E20" s="4" t="s">
        <v>125</v>
      </c>
      <c r="G20" s="4" t="s">
        <v>133</v>
      </c>
      <c r="K20" s="14" t="str">
        <f>IF(E20=$E$3,"",IF(J20=$J$21,"",IF(E20=$E$19,"",$Q$2&amp;":"&amp;$R$2)))</f>
        <v>IVA:19</v>
      </c>
      <c r="L20" t="str">
        <f>IF(K20="",IF(J20=$J$21,Q$3&amp;":"&amp;$R$3,""),$Q$3&amp;":"&amp;$R$3)</f>
        <v>RETE FUENTE:2,5</v>
      </c>
      <c r="M20" t="str">
        <f>IF(K20="","",IF(E20=$E$8,$Q$4&amp;":"&amp;$R$4,""))</f>
        <v/>
      </c>
      <c r="N20" t="str">
        <f>IF(D20="BOGOTA",$Q$5&amp;":"&amp;$R$5,"")</f>
        <v/>
      </c>
    </row>
    <row r="21" spans="1:14" x14ac:dyDescent="0.35">
      <c r="A21" s="1">
        <v>900324176</v>
      </c>
      <c r="B21" t="s">
        <v>71</v>
      </c>
      <c r="D21" s="6" t="s">
        <v>153</v>
      </c>
      <c r="E21" s="4" t="s">
        <v>125</v>
      </c>
      <c r="G21" s="4" t="s">
        <v>133</v>
      </c>
      <c r="J21" t="s">
        <v>133</v>
      </c>
      <c r="K21" s="14" t="str">
        <f>IF(E21=$E$3,"",IF(J21=$J$21,"",IF(E21=$E$19,"",$Q$2&amp;":"&amp;$R$2)))</f>
        <v/>
      </c>
      <c r="L21" t="str">
        <f>IF(K21="",IF(J21=$J$21,Q$3&amp;":"&amp;$R$3,""),$Q$3&amp;":"&amp;$R$3)</f>
        <v>RETE FUENTE:2,5</v>
      </c>
      <c r="M21" t="str">
        <f>IF(K21="","",IF(E21=$E$8,$Q$4&amp;":"&amp;$R$4,""))</f>
        <v/>
      </c>
      <c r="N21" t="str">
        <f>IF(D21="BOGOTA",$Q$5&amp;":"&amp;$R$5,"")</f>
        <v/>
      </c>
    </row>
    <row r="22" spans="1:14" x14ac:dyDescent="0.35">
      <c r="A22" s="1">
        <v>900781118</v>
      </c>
      <c r="B22" t="s">
        <v>85</v>
      </c>
      <c r="D22" s="6" t="s">
        <v>132</v>
      </c>
      <c r="E22" s="4" t="s">
        <v>125</v>
      </c>
      <c r="G22" s="4" t="s">
        <v>133</v>
      </c>
      <c r="K22" s="14" t="str">
        <f>IF(E22=$E$3,"",IF(J22=$J$21,"",IF(E22=$E$19,"",$Q$2&amp;":"&amp;$R$2)))</f>
        <v>IVA:19</v>
      </c>
      <c r="L22" t="str">
        <f>IF(K22="",IF(J22=$J$21,Q$3&amp;":"&amp;$R$3,""),$Q$3&amp;":"&amp;$R$3)</f>
        <v>RETE FUENTE:2,5</v>
      </c>
      <c r="M22" t="str">
        <f>IF(K22="","",IF(E22=$E$8,$Q$4&amp;":"&amp;$R$4,""))</f>
        <v/>
      </c>
      <c r="N22" t="str">
        <f>IF(D22="BOGOTA",$Q$5&amp;":"&amp;$R$5,"")</f>
        <v/>
      </c>
    </row>
    <row r="23" spans="1:14" x14ac:dyDescent="0.35">
      <c r="A23" s="1">
        <v>444444525</v>
      </c>
      <c r="B23" t="s">
        <v>11</v>
      </c>
      <c r="D23" s="6" t="s">
        <v>128</v>
      </c>
      <c r="E23" s="4" t="s">
        <v>134</v>
      </c>
      <c r="I23" s="4" t="s">
        <v>133</v>
      </c>
      <c r="K23" s="14" t="str">
        <f>IF(E23=$E$3,"",IF(J23=$J$21,"",IF(E23=$E$19,"",$Q$2&amp;":"&amp;$R$2)))</f>
        <v/>
      </c>
      <c r="L23" t="str">
        <f>IF(K23="",IF(J23=$J$21,Q$3&amp;":"&amp;$R$3,""),$Q$3&amp;":"&amp;$R$3)</f>
        <v/>
      </c>
      <c r="M23" t="str">
        <f>IF(K23="","",IF(E23=$E$8,$Q$4&amp;":"&amp;$R$4,""))</f>
        <v/>
      </c>
      <c r="N23" t="str">
        <f>IF(D23="BOGOTA",$Q$5&amp;":"&amp;$R$5,"")</f>
        <v/>
      </c>
    </row>
    <row r="24" spans="1:14" x14ac:dyDescent="0.35">
      <c r="A24" s="1">
        <v>900297153</v>
      </c>
      <c r="B24" t="s">
        <v>69</v>
      </c>
      <c r="D24" s="6" t="s">
        <v>147</v>
      </c>
      <c r="E24" s="4" t="s">
        <v>125</v>
      </c>
      <c r="G24" s="4" t="s">
        <v>133</v>
      </c>
      <c r="K24" s="14" t="str">
        <f>IF(E24=$E$3,"",IF(J24=$J$21,"",IF(E24=$E$19,"",$Q$2&amp;":"&amp;$R$2)))</f>
        <v>IVA:19</v>
      </c>
      <c r="L24" t="str">
        <f>IF(K24="",IF(J24=$J$21,Q$3&amp;":"&amp;$R$3,""),$Q$3&amp;":"&amp;$R$3)</f>
        <v>RETE FUENTE:2,5</v>
      </c>
      <c r="M24" t="str">
        <f>IF(K24="","",IF(E24=$E$8,$Q$4&amp;":"&amp;$R$4,""))</f>
        <v/>
      </c>
      <c r="N24" t="str">
        <f>IF(D24="BOGOTA",$Q$5&amp;":"&amp;$R$5,"")</f>
        <v>ICA:1,104</v>
      </c>
    </row>
    <row r="25" spans="1:14" x14ac:dyDescent="0.35">
      <c r="A25" s="1">
        <v>900649304</v>
      </c>
      <c r="B25" t="s">
        <v>82</v>
      </c>
      <c r="D25" s="6" t="s">
        <v>147</v>
      </c>
      <c r="E25" s="4" t="s">
        <v>125</v>
      </c>
      <c r="G25" s="4" t="s">
        <v>133</v>
      </c>
      <c r="K25" s="14" t="str">
        <f>IF(E25=$E$3,"",IF(J25=$J$21,"",IF(E25=$E$19,"",$Q$2&amp;":"&amp;$R$2)))</f>
        <v>IVA:19</v>
      </c>
      <c r="L25" t="str">
        <f>IF(K25="",IF(J25=$J$21,Q$3&amp;":"&amp;$R$3,""),$Q$3&amp;":"&amp;$R$3)</f>
        <v>RETE FUENTE:2,5</v>
      </c>
      <c r="M25" t="str">
        <f>IF(K25="","",IF(E25=$E$8,$Q$4&amp;":"&amp;$R$4,""))</f>
        <v/>
      </c>
      <c r="N25" t="str">
        <f>IF(D25="BOGOTA",$Q$5&amp;":"&amp;$R$5,"")</f>
        <v>ICA:1,104</v>
      </c>
    </row>
    <row r="26" spans="1:14" x14ac:dyDescent="0.35">
      <c r="A26" s="1">
        <v>900013415</v>
      </c>
      <c r="B26" t="s">
        <v>1</v>
      </c>
      <c r="C26" s="4" t="s">
        <v>186</v>
      </c>
      <c r="D26" s="6" t="s">
        <v>154</v>
      </c>
      <c r="E26" s="4" t="s">
        <v>126</v>
      </c>
      <c r="H26" s="4" t="s">
        <v>133</v>
      </c>
      <c r="K26" s="14" t="str">
        <f>IF(E26=$E$3,"",IF(J26=$J$21,"",IF(E26=$E$19,"",$Q$2&amp;":"&amp;$R$2)))</f>
        <v/>
      </c>
      <c r="L26" t="str">
        <f>IF(K26="",IF(J26=$J$21,Q$3&amp;":"&amp;$R$3,""),$Q$3&amp;":"&amp;$R$3)</f>
        <v/>
      </c>
      <c r="M26" t="str">
        <f>IF(K26="","",IF(E26=$E$8,$Q$4&amp;":"&amp;$R$4,""))</f>
        <v/>
      </c>
      <c r="N26" t="str">
        <f>IF(D26="BOGOTA",$Q$5&amp;":"&amp;$R$5,"")</f>
        <v/>
      </c>
    </row>
    <row r="27" spans="1:14" x14ac:dyDescent="0.35">
      <c r="A27" s="1">
        <v>900398299</v>
      </c>
      <c r="B27" t="s">
        <v>75</v>
      </c>
      <c r="D27" s="6" t="s">
        <v>155</v>
      </c>
      <c r="E27" s="4" t="s">
        <v>125</v>
      </c>
      <c r="G27" s="4" t="s">
        <v>133</v>
      </c>
      <c r="K27" s="14" t="str">
        <f>IF(E27=$E$3,"",IF(J27=$J$21,"",IF(E27=$E$19,"",$Q$2&amp;":"&amp;$R$2)))</f>
        <v>IVA:19</v>
      </c>
      <c r="L27" t="str">
        <f>IF(K27="",IF(J27=$J$21,Q$3&amp;":"&amp;$R$3,""),$Q$3&amp;":"&amp;$R$3)</f>
        <v>RETE FUENTE:2,5</v>
      </c>
      <c r="M27" t="str">
        <f>IF(K27="","",IF(E27=$E$8,$Q$4&amp;":"&amp;$R$4,""))</f>
        <v/>
      </c>
      <c r="N27" t="str">
        <f>IF(D27="BOGOTA",$Q$5&amp;":"&amp;$R$5,"")</f>
        <v/>
      </c>
    </row>
    <row r="28" spans="1:14" x14ac:dyDescent="0.35">
      <c r="A28" s="1">
        <v>830061446</v>
      </c>
      <c r="B28" t="s">
        <v>39</v>
      </c>
      <c r="D28" s="6" t="s">
        <v>147</v>
      </c>
      <c r="E28" s="4" t="s">
        <v>125</v>
      </c>
      <c r="G28" s="4" t="s">
        <v>133</v>
      </c>
      <c r="K28" s="14" t="str">
        <f>IF(E28=$E$3,"",IF(J28=$J$21,"",IF(E28=$E$19,"",$Q$2&amp;":"&amp;$R$2)))</f>
        <v>IVA:19</v>
      </c>
      <c r="L28" t="str">
        <f>IF(K28="",IF(J28=$J$21,Q$3&amp;":"&amp;$R$3,""),$Q$3&amp;":"&amp;$R$3)</f>
        <v>RETE FUENTE:2,5</v>
      </c>
      <c r="M28" t="str">
        <f>IF(K28="","",IF(E28=$E$8,$Q$4&amp;":"&amp;$R$4,""))</f>
        <v/>
      </c>
      <c r="N28" t="str">
        <f>IF(D28="BOGOTA",$Q$5&amp;":"&amp;$R$5,"")</f>
        <v>ICA:1,104</v>
      </c>
    </row>
    <row r="29" spans="1:14" x14ac:dyDescent="0.35">
      <c r="A29" s="1">
        <v>1032476051</v>
      </c>
      <c r="B29" t="s">
        <v>119</v>
      </c>
      <c r="C29" s="4" t="s">
        <v>186</v>
      </c>
      <c r="D29" s="6" t="s">
        <v>147</v>
      </c>
      <c r="E29" s="4" t="s">
        <v>126</v>
      </c>
      <c r="H29" s="4" t="s">
        <v>133</v>
      </c>
      <c r="K29" s="14" t="str">
        <f>IF(E29=$E$3,"",IF(J29=$J$21,"",IF(E29=$E$19,"",$Q$2&amp;":"&amp;$R$2)))</f>
        <v/>
      </c>
      <c r="L29" t="str">
        <f>IF(K29="",IF(J29=$J$21,Q$3&amp;":"&amp;$R$3,""),$Q$3&amp;":"&amp;$R$3)</f>
        <v/>
      </c>
      <c r="M29" t="str">
        <f>IF(K29="","",IF(E29=$E$8,$Q$4&amp;":"&amp;$R$4,""))</f>
        <v/>
      </c>
      <c r="N29" t="str">
        <f>IF(D29="BOGOTA",$Q$5&amp;":"&amp;$R$5,"")</f>
        <v>ICA:1,104</v>
      </c>
    </row>
    <row r="30" spans="1:14" x14ac:dyDescent="0.35">
      <c r="A30" s="1">
        <v>830071113</v>
      </c>
      <c r="B30" t="s">
        <v>41</v>
      </c>
      <c r="D30" s="6" t="s">
        <v>156</v>
      </c>
      <c r="E30" s="4" t="s">
        <v>125</v>
      </c>
      <c r="G30" s="4" t="s">
        <v>133</v>
      </c>
      <c r="K30" s="14" t="str">
        <f>IF(E30=$E$3,"",IF(J30=$J$21,"",IF(E30=$E$19,"",$Q$2&amp;":"&amp;$R$2)))</f>
        <v>IVA:19</v>
      </c>
      <c r="L30" t="str">
        <f>IF(K30="",IF(J30=$J$21,Q$3&amp;":"&amp;$R$3,""),$Q$3&amp;":"&amp;$R$3)</f>
        <v>RETE FUENTE:2,5</v>
      </c>
      <c r="M30" t="str">
        <f>IF(K30="","",IF(E30=$E$8,$Q$4&amp;":"&amp;$R$4,""))</f>
        <v/>
      </c>
      <c r="N30" t="str">
        <f>IF(D30="BOGOTA",$Q$5&amp;":"&amp;$R$5,"")</f>
        <v/>
      </c>
    </row>
    <row r="31" spans="1:14" x14ac:dyDescent="0.35">
      <c r="A31" s="1">
        <v>900136121</v>
      </c>
      <c r="B31" t="s">
        <v>63</v>
      </c>
      <c r="D31" s="6" t="s">
        <v>155</v>
      </c>
      <c r="E31" s="4" t="s">
        <v>125</v>
      </c>
      <c r="G31" s="4" t="s">
        <v>133</v>
      </c>
      <c r="K31" s="14" t="str">
        <f>IF(E31=$E$3,"",IF(J31=$J$21,"",IF(E31=$E$19,"",$Q$2&amp;":"&amp;$R$2)))</f>
        <v>IVA:19</v>
      </c>
      <c r="L31" t="str">
        <f>IF(K31="",IF(J31=$J$21,Q$3&amp;":"&amp;$R$3,""),$Q$3&amp;":"&amp;$R$3)</f>
        <v>RETE FUENTE:2,5</v>
      </c>
      <c r="M31" t="str">
        <f>IF(K31="","",IF(E31=$E$8,$Q$4&amp;":"&amp;$R$4,""))</f>
        <v/>
      </c>
      <c r="N31" t="str">
        <f>IF(D31="BOGOTA",$Q$5&amp;":"&amp;$R$5,"")</f>
        <v/>
      </c>
    </row>
    <row r="32" spans="1:14" x14ac:dyDescent="0.35">
      <c r="A32" s="1">
        <v>800248092</v>
      </c>
      <c r="B32" t="s">
        <v>31</v>
      </c>
      <c r="D32" s="6" t="s">
        <v>147</v>
      </c>
      <c r="E32" s="4" t="s">
        <v>125</v>
      </c>
      <c r="G32" s="4" t="s">
        <v>133</v>
      </c>
      <c r="K32" s="14" t="str">
        <f>IF(E32=$E$3,"",IF(J32=$J$21,"",IF(E32=$E$19,"",$Q$2&amp;":"&amp;$R$2)))</f>
        <v>IVA:19</v>
      </c>
      <c r="L32" t="str">
        <f>IF(K32="",IF(J32=$J$21,Q$3&amp;":"&amp;$R$3,""),$Q$3&amp;":"&amp;$R$3)</f>
        <v>RETE FUENTE:2,5</v>
      </c>
      <c r="M32" t="str">
        <f>IF(K32="","",IF(E32=$E$8,$Q$4&amp;":"&amp;$R$4,""))</f>
        <v/>
      </c>
      <c r="N32" t="str">
        <f>IF(D32="BOGOTA",$Q$5&amp;":"&amp;$R$5,"")</f>
        <v>ICA:1,104</v>
      </c>
    </row>
    <row r="33" spans="1:14" x14ac:dyDescent="0.35">
      <c r="A33" s="1">
        <v>901514167</v>
      </c>
      <c r="B33" t="s">
        <v>112</v>
      </c>
      <c r="D33" s="6" t="s">
        <v>132</v>
      </c>
      <c r="E33" s="4" t="s">
        <v>125</v>
      </c>
      <c r="G33" s="4" t="s">
        <v>133</v>
      </c>
      <c r="K33" s="14" t="str">
        <f>IF(E33=$E$3,"",IF(J33=$J$21,"",IF(E33=$E$19,"",$Q$2&amp;":"&amp;$R$2)))</f>
        <v>IVA:19</v>
      </c>
      <c r="L33" t="str">
        <f>IF(K33="",IF(J33=$J$21,Q$3&amp;":"&amp;$R$3,""),$Q$3&amp;":"&amp;$R$3)</f>
        <v>RETE FUENTE:2,5</v>
      </c>
      <c r="M33" t="str">
        <f>IF(K33="","",IF(E33=$E$8,$Q$4&amp;":"&amp;$R$4,""))</f>
        <v/>
      </c>
      <c r="N33" t="str">
        <f>IF(D33="BOGOTA",$Q$5&amp;":"&amp;$R$5,"")</f>
        <v/>
      </c>
    </row>
    <row r="34" spans="1:14" x14ac:dyDescent="0.35">
      <c r="A34" s="1">
        <v>900299153</v>
      </c>
      <c r="B34" t="s">
        <v>2</v>
      </c>
      <c r="D34" s="6" t="s">
        <v>147</v>
      </c>
      <c r="E34" s="4" t="s">
        <v>125</v>
      </c>
      <c r="G34" s="4" t="s">
        <v>133</v>
      </c>
      <c r="K34" s="14" t="str">
        <f>IF(E34=$E$3,"",IF(J34=$J$21,"",IF(E34=$E$19,"",$Q$2&amp;":"&amp;$R$2)))</f>
        <v>IVA:19</v>
      </c>
      <c r="L34" t="str">
        <f>IF(K34="",IF(J34=$J$21,Q$3&amp;":"&amp;$R$3,""),$Q$3&amp;":"&amp;$R$3)</f>
        <v>RETE FUENTE:2,5</v>
      </c>
      <c r="M34" t="str">
        <f>IF(K34="","",IF(E34=$E$8,$Q$4&amp;":"&amp;$R$4,""))</f>
        <v/>
      </c>
      <c r="N34" t="str">
        <f>IF(D34="BOGOTA",$Q$5&amp;":"&amp;$R$5,"")</f>
        <v>ICA:1,104</v>
      </c>
    </row>
    <row r="35" spans="1:14" x14ac:dyDescent="0.35">
      <c r="A35" s="1">
        <v>830045614</v>
      </c>
      <c r="B35" t="s">
        <v>37</v>
      </c>
      <c r="D35" s="6" t="s">
        <v>147</v>
      </c>
      <c r="E35" s="4" t="s">
        <v>125</v>
      </c>
      <c r="G35" s="4" t="s">
        <v>133</v>
      </c>
      <c r="K35" s="14" t="str">
        <f>IF(E35=$E$3,"",IF(J35=$J$21,"",IF(E35=$E$19,"",$Q$2&amp;":"&amp;$R$2)))</f>
        <v>IVA:19</v>
      </c>
      <c r="L35" t="str">
        <f>IF(K35="",IF(J35=$J$21,Q$3&amp;":"&amp;$R$3,""),$Q$3&amp;":"&amp;$R$3)</f>
        <v>RETE FUENTE:2,5</v>
      </c>
      <c r="M35" t="str">
        <f>IF(K35="","",IF(E35=$E$8,$Q$4&amp;":"&amp;$R$4,""))</f>
        <v/>
      </c>
      <c r="N35" t="str">
        <f>IF(D35="BOGOTA",$Q$5&amp;":"&amp;$R$5,"")</f>
        <v>ICA:1,104</v>
      </c>
    </row>
    <row r="36" spans="1:14" x14ac:dyDescent="0.35">
      <c r="A36" s="1">
        <v>901208344</v>
      </c>
      <c r="B36" t="s">
        <v>98</v>
      </c>
      <c r="D36" s="6" t="s">
        <v>144</v>
      </c>
      <c r="E36" s="4" t="s">
        <v>125</v>
      </c>
      <c r="G36" s="4" t="s">
        <v>133</v>
      </c>
      <c r="K36" s="14" t="str">
        <f>IF(E36=$E$3,"",IF(J36=$J$21,"",IF(E36=$E$19,"",$Q$2&amp;":"&amp;$R$2)))</f>
        <v>IVA:19</v>
      </c>
      <c r="L36" t="str">
        <f>IF(K36="",IF(J36=$J$21,Q$3&amp;":"&amp;$R$3,""),$Q$3&amp;":"&amp;$R$3)</f>
        <v>RETE FUENTE:2,5</v>
      </c>
      <c r="M36" t="str">
        <f>IF(K36="","",IF(E36=$E$8,$Q$4&amp;":"&amp;$R$4,""))</f>
        <v/>
      </c>
      <c r="N36" t="str">
        <f>IF(D36="BOGOTA",$Q$5&amp;":"&amp;$R$5,"")</f>
        <v/>
      </c>
    </row>
    <row r="37" spans="1:14" x14ac:dyDescent="0.35">
      <c r="A37" s="7">
        <v>900845512</v>
      </c>
      <c r="B37" s="8" t="s">
        <v>89</v>
      </c>
      <c r="C37" s="13"/>
      <c r="D37" s="9" t="s">
        <v>147</v>
      </c>
      <c r="E37" s="4" t="s">
        <v>125</v>
      </c>
      <c r="F37" s="13"/>
      <c r="G37" s="13" t="s">
        <v>133</v>
      </c>
      <c r="H37" s="13"/>
      <c r="I37" s="13"/>
      <c r="J37" s="8"/>
      <c r="K37" s="14" t="str">
        <f>IF(E37=$E$3,"",IF(J37=$J$21,"",IF(E37=$E$19,"",$Q$2&amp;":"&amp;$R$2)))</f>
        <v>IVA:19</v>
      </c>
      <c r="L37" t="str">
        <f>IF(K37="",IF(J37=$J$21,Q$3&amp;":"&amp;$R$3,""),$Q$3&amp;":"&amp;$R$3)</f>
        <v>RETE FUENTE:2,5</v>
      </c>
      <c r="M37" t="str">
        <f>IF(K37="","",IF(E37=$E$8,$Q$4&amp;":"&amp;$R$4,""))</f>
        <v/>
      </c>
      <c r="N37" t="str">
        <f>IF(D37="BOGOTA",$Q$5&amp;":"&amp;$R$5,"")</f>
        <v>ICA:1,104</v>
      </c>
    </row>
    <row r="38" spans="1:14" x14ac:dyDescent="0.35">
      <c r="A38" s="1">
        <v>900099819</v>
      </c>
      <c r="B38" t="s">
        <v>60</v>
      </c>
      <c r="D38" s="6" t="s">
        <v>147</v>
      </c>
      <c r="E38" s="4" t="s">
        <v>125</v>
      </c>
      <c r="G38" s="4" t="s">
        <v>133</v>
      </c>
      <c r="K38" s="14" t="str">
        <f>IF(E38=$E$3,"",IF(J38=$J$21,"",IF(E38=$E$19,"",$Q$2&amp;":"&amp;$R$2)))</f>
        <v>IVA:19</v>
      </c>
      <c r="L38" t="str">
        <f>IF(K38="",IF(J38=$J$21,Q$3&amp;":"&amp;$R$3,""),$Q$3&amp;":"&amp;$R$3)</f>
        <v>RETE FUENTE:2,5</v>
      </c>
      <c r="M38" t="str">
        <f>IF(K38="","",IF(E38=$E$8,$Q$4&amp;":"&amp;$R$4,""))</f>
        <v/>
      </c>
      <c r="N38" t="str">
        <f>IF(D38="BOGOTA",$Q$5&amp;":"&amp;$R$5,"")</f>
        <v>ICA:1,104</v>
      </c>
    </row>
    <row r="39" spans="1:14" x14ac:dyDescent="0.35">
      <c r="A39" s="1">
        <v>901542343</v>
      </c>
      <c r="B39" t="s">
        <v>113</v>
      </c>
      <c r="D39" s="6" t="s">
        <v>157</v>
      </c>
      <c r="E39" s="4" t="s">
        <v>125</v>
      </c>
      <c r="G39" s="4" t="s">
        <v>133</v>
      </c>
      <c r="K39" s="14" t="str">
        <f>IF(E39=$E$3,"",IF(J39=$J$21,"",IF(E39=$E$19,"",$Q$2&amp;":"&amp;$R$2)))</f>
        <v>IVA:19</v>
      </c>
      <c r="L39" t="str">
        <f>IF(K39="",IF(J39=$J$21,Q$3&amp;":"&amp;$R$3,""),$Q$3&amp;":"&amp;$R$3)</f>
        <v>RETE FUENTE:2,5</v>
      </c>
      <c r="M39" t="str">
        <f>IF(K39="","",IF(E39=$E$8,$Q$4&amp;":"&amp;$R$4,""))</f>
        <v/>
      </c>
      <c r="N39" t="str">
        <f>IF(D39="BOGOTA",$Q$5&amp;":"&amp;$R$5,"")</f>
        <v/>
      </c>
    </row>
    <row r="40" spans="1:14" x14ac:dyDescent="0.35">
      <c r="A40" s="1">
        <v>890923922</v>
      </c>
      <c r="B40" t="s">
        <v>57</v>
      </c>
      <c r="D40" s="6" t="s">
        <v>150</v>
      </c>
      <c r="E40" s="4" t="s">
        <v>125</v>
      </c>
      <c r="G40" s="4" t="s">
        <v>133</v>
      </c>
      <c r="K40" s="14" t="str">
        <f>IF(E40=$E$3,"",IF(J40=$J$21,"",IF(E40=$E$19,"",$Q$2&amp;":"&amp;$R$2)))</f>
        <v>IVA:19</v>
      </c>
      <c r="L40" t="str">
        <f>IF(K40="",IF(J40=$J$21,Q$3&amp;":"&amp;$R$3,""),$Q$3&amp;":"&amp;$R$3)</f>
        <v>RETE FUENTE:2,5</v>
      </c>
      <c r="M40" t="str">
        <f>IF(K40="","",IF(E40=$E$8,$Q$4&amp;":"&amp;$R$4,""))</f>
        <v/>
      </c>
      <c r="N40" t="str">
        <f>IF(D40="BOGOTA",$Q$5&amp;":"&amp;$R$5,"")</f>
        <v/>
      </c>
    </row>
    <row r="41" spans="1:14" x14ac:dyDescent="0.35">
      <c r="A41" s="1">
        <v>444444583</v>
      </c>
      <c r="B41" t="s">
        <v>17</v>
      </c>
      <c r="D41" s="6" t="s">
        <v>148</v>
      </c>
      <c r="E41" s="4" t="s">
        <v>134</v>
      </c>
      <c r="I41" s="4" t="s">
        <v>133</v>
      </c>
      <c r="K41" s="14" t="str">
        <f>IF(E41=$E$3,"",IF(J41=$J$21,"",IF(E41=$E$19,"",$Q$2&amp;":"&amp;$R$2)))</f>
        <v/>
      </c>
      <c r="L41" t="str">
        <f>IF(K41="",IF(J41=$J$21,Q$3&amp;":"&amp;$R$3,""),$Q$3&amp;":"&amp;$R$3)</f>
        <v/>
      </c>
      <c r="M41" t="str">
        <f>IF(K41="","",IF(E41=$E$8,$Q$4&amp;":"&amp;$R$4,""))</f>
        <v/>
      </c>
      <c r="N41" t="str">
        <f>IF(D41="BOGOTA",$Q$5&amp;":"&amp;$R$5,"")</f>
        <v/>
      </c>
    </row>
    <row r="42" spans="1:14" x14ac:dyDescent="0.35">
      <c r="A42" s="1">
        <v>900015899</v>
      </c>
      <c r="B42" t="s">
        <v>59</v>
      </c>
      <c r="D42" s="6" t="s">
        <v>149</v>
      </c>
      <c r="E42" s="4" t="s">
        <v>125</v>
      </c>
      <c r="G42" s="4" t="s">
        <v>133</v>
      </c>
      <c r="K42" s="14" t="str">
        <f>IF(E42=$E$3,"",IF(J42=$J$21,"",IF(E42=$E$19,"",$Q$2&amp;":"&amp;$R$2)))</f>
        <v>IVA:19</v>
      </c>
      <c r="L42" t="str">
        <f>IF(K42="",IF(J42=$J$21,Q$3&amp;":"&amp;$R$3,""),$Q$3&amp;":"&amp;$R$3)</f>
        <v>RETE FUENTE:2,5</v>
      </c>
      <c r="M42" t="str">
        <f>IF(K42="","",IF(E42=$E$8,$Q$4&amp;":"&amp;$R$4,""))</f>
        <v/>
      </c>
      <c r="N42" t="str">
        <f>IF(D42="BOGOTA",$Q$5&amp;":"&amp;$R$5,"")</f>
        <v/>
      </c>
    </row>
    <row r="43" spans="1:14" x14ac:dyDescent="0.35">
      <c r="A43" s="1">
        <v>817000681</v>
      </c>
      <c r="B43" t="s">
        <v>35</v>
      </c>
      <c r="D43" s="6" t="s">
        <v>158</v>
      </c>
      <c r="E43" s="4" t="s">
        <v>124</v>
      </c>
      <c r="F43" s="4" t="s">
        <v>133</v>
      </c>
      <c r="J43" t="s">
        <v>133</v>
      </c>
      <c r="K43" s="14" t="str">
        <f>IF(E43=$E$3,"",IF(J43=$J$21,"",IF(E43=$E$19,"",$Q$2&amp;":"&amp;$R$2)))</f>
        <v/>
      </c>
      <c r="L43" t="str">
        <f>IF(K43="",IF(J43=$J$21,Q$3&amp;":"&amp;$R$3,""),$Q$3&amp;":"&amp;$R$3)</f>
        <v>RETE FUENTE:2,5</v>
      </c>
      <c r="M43" t="str">
        <f>IF(K43="","",IF(E43=$E$8,$Q$4&amp;":"&amp;$R$4,""))</f>
        <v/>
      </c>
      <c r="N43" t="str">
        <f>IF(D43="BOGOTA",$Q$5&amp;":"&amp;$R$5,"")</f>
        <v/>
      </c>
    </row>
    <row r="44" spans="1:14" x14ac:dyDescent="0.35">
      <c r="A44" s="1">
        <v>800217623</v>
      </c>
      <c r="B44" t="s">
        <v>30</v>
      </c>
      <c r="D44" s="6" t="s">
        <v>147</v>
      </c>
      <c r="E44" s="4" t="s">
        <v>124</v>
      </c>
      <c r="F44" s="4" t="s">
        <v>133</v>
      </c>
      <c r="K44" s="14" t="str">
        <f>IF(E44=$E$3,"",IF(J44=$J$21,"",IF(E44=$E$19,"",$Q$2&amp;":"&amp;$R$2)))</f>
        <v>IVA:19</v>
      </c>
      <c r="L44" t="str">
        <f>IF(K44="",IF(J44=$J$21,Q$3&amp;":"&amp;$R$3,""),$Q$3&amp;":"&amp;$R$3)</f>
        <v>RETE FUENTE:2,5</v>
      </c>
      <c r="M44" t="str">
        <f>IF(K44="","",IF(E44=$E$8,$Q$4&amp;":"&amp;$R$4,""))</f>
        <v>RETE IVA:2,85</v>
      </c>
      <c r="N44" t="str">
        <f>IF(D44="BOGOTA",$Q$5&amp;":"&amp;$R$5,"")</f>
        <v>ICA:1,104</v>
      </c>
    </row>
    <row r="45" spans="1:14" x14ac:dyDescent="0.35">
      <c r="A45" s="1">
        <v>901390015</v>
      </c>
      <c r="B45" t="s">
        <v>107</v>
      </c>
      <c r="D45" s="6" t="s">
        <v>159</v>
      </c>
      <c r="E45" s="4" t="s">
        <v>124</v>
      </c>
      <c r="F45" s="4" t="s">
        <v>133</v>
      </c>
      <c r="K45" s="14" t="str">
        <f>IF(E45=$E$3,"",IF(J45=$J$21,"",IF(E45=$E$19,"",$Q$2&amp;":"&amp;$R$2)))</f>
        <v>IVA:19</v>
      </c>
      <c r="L45" t="str">
        <f>IF(K45="",IF(J45=$J$21,Q$3&amp;":"&amp;$R$3,""),$Q$3&amp;":"&amp;$R$3)</f>
        <v>RETE FUENTE:2,5</v>
      </c>
      <c r="M45" t="str">
        <f>IF(K45="","",IF(E45=$E$8,$Q$4&amp;":"&amp;$R$4,""))</f>
        <v>RETE IVA:2,85</v>
      </c>
      <c r="N45" t="str">
        <f>IF(D45="BOGOTA",$Q$5&amp;":"&amp;$R$5,"")</f>
        <v/>
      </c>
    </row>
    <row r="46" spans="1:14" x14ac:dyDescent="0.35">
      <c r="A46" s="1">
        <v>900229913</v>
      </c>
      <c r="B46" t="s">
        <v>66</v>
      </c>
      <c r="C46" s="4" t="s">
        <v>186</v>
      </c>
      <c r="D46" s="6" t="s">
        <v>144</v>
      </c>
      <c r="E46" s="4" t="s">
        <v>125</v>
      </c>
      <c r="G46" s="4" t="s">
        <v>133</v>
      </c>
      <c r="K46" s="14" t="str">
        <f>IF(E46=$E$3,"",IF(J46=$J$21,"",IF(E46=$E$19,"",$Q$2&amp;":"&amp;$R$2)))</f>
        <v>IVA:19</v>
      </c>
      <c r="L46" t="str">
        <f>IF(K46="",IF(J46=$J$21,Q$3&amp;":"&amp;$R$3,""),$Q$3&amp;":"&amp;$R$3)</f>
        <v>RETE FUENTE:2,5</v>
      </c>
      <c r="M46" t="str">
        <f>IF(K46="","",IF(E46=$E$8,$Q$4&amp;":"&amp;$R$4,""))</f>
        <v/>
      </c>
      <c r="N46" t="str">
        <f>IF(D46="BOGOTA",$Q$5&amp;":"&amp;$R$5,"")</f>
        <v/>
      </c>
    </row>
    <row r="47" spans="1:14" x14ac:dyDescent="0.35">
      <c r="A47" s="1">
        <v>900012911</v>
      </c>
      <c r="B47" t="s">
        <v>58</v>
      </c>
      <c r="D47" s="6" t="s">
        <v>147</v>
      </c>
      <c r="E47" s="4" t="s">
        <v>125</v>
      </c>
      <c r="G47" s="4" t="s">
        <v>133</v>
      </c>
      <c r="K47" s="14" t="str">
        <f>IF(E47=$E$3,"",IF(J47=$J$21,"",IF(E47=$E$19,"",$Q$2&amp;":"&amp;$R$2)))</f>
        <v>IVA:19</v>
      </c>
      <c r="L47" t="str">
        <f>IF(K47="",IF(J47=$J$21,Q$3&amp;":"&amp;$R$3,""),$Q$3&amp;":"&amp;$R$3)</f>
        <v>RETE FUENTE:2,5</v>
      </c>
      <c r="M47" t="str">
        <f>IF(K47="","",IF(E47=$E$8,$Q$4&amp;":"&amp;$R$4,""))</f>
        <v/>
      </c>
      <c r="N47" t="str">
        <f>IF(D47="BOGOTA",$Q$5&amp;":"&amp;$R$5,"")</f>
        <v>ICA:1,104</v>
      </c>
    </row>
    <row r="48" spans="1:14" x14ac:dyDescent="0.35">
      <c r="A48" s="1">
        <v>900860484</v>
      </c>
      <c r="B48" t="s">
        <v>90</v>
      </c>
      <c r="D48" s="6" t="s">
        <v>130</v>
      </c>
      <c r="E48" s="4" t="s">
        <v>125</v>
      </c>
      <c r="G48" s="4" t="s">
        <v>133</v>
      </c>
      <c r="K48" s="14" t="str">
        <f>IF(E48=$E$3,"",IF(J48=$J$21,"",IF(E48=$E$19,"",$Q$2&amp;":"&amp;$R$2)))</f>
        <v>IVA:19</v>
      </c>
      <c r="L48" t="str">
        <f>IF(K48="",IF(J48=$J$21,Q$3&amp;":"&amp;$R$3,""),$Q$3&amp;":"&amp;$R$3)</f>
        <v>RETE FUENTE:2,5</v>
      </c>
      <c r="M48" t="str">
        <f>IF(K48="","",IF(E48=$E$8,$Q$4&amp;":"&amp;$R$4,""))</f>
        <v/>
      </c>
      <c r="N48" t="str">
        <f>IF(D48="BOGOTA",$Q$5&amp;":"&amp;$R$5,"")</f>
        <v/>
      </c>
    </row>
    <row r="49" spans="1:14" x14ac:dyDescent="0.35">
      <c r="A49" s="1">
        <v>860031786</v>
      </c>
      <c r="B49" t="s">
        <v>49</v>
      </c>
      <c r="D49" s="6" t="s">
        <v>147</v>
      </c>
      <c r="E49" s="4" t="s">
        <v>125</v>
      </c>
      <c r="G49" s="4" t="s">
        <v>133</v>
      </c>
      <c r="K49" s="14" t="str">
        <f>IF(E49=$E$3,"",IF(J49=$J$21,"",IF(E49=$E$19,"",$Q$2&amp;":"&amp;$R$2)))</f>
        <v>IVA:19</v>
      </c>
      <c r="L49" t="str">
        <f>IF(K49="",IF(J49=$J$21,Q$3&amp;":"&amp;$R$3,""),$Q$3&amp;":"&amp;$R$3)</f>
        <v>RETE FUENTE:2,5</v>
      </c>
      <c r="M49" t="str">
        <f>IF(K49="","",IF(E49=$E$8,$Q$4&amp;":"&amp;$R$4,""))</f>
        <v/>
      </c>
      <c r="N49" t="str">
        <f>IF(D49="BOGOTA",$Q$5&amp;":"&amp;$R$5,"")</f>
        <v>ICA:1,104</v>
      </c>
    </row>
    <row r="50" spans="1:14" s="8" customFormat="1" x14ac:dyDescent="0.35">
      <c r="A50" s="1">
        <v>901415267</v>
      </c>
      <c r="B50" t="s">
        <v>109</v>
      </c>
      <c r="C50" s="4"/>
      <c r="D50" s="6" t="s">
        <v>147</v>
      </c>
      <c r="E50" s="4" t="s">
        <v>124</v>
      </c>
      <c r="F50" s="4" t="s">
        <v>133</v>
      </c>
      <c r="G50" s="4"/>
      <c r="H50" s="4"/>
      <c r="I50" s="4"/>
      <c r="J50"/>
      <c r="K50" s="14" t="str">
        <f>IF(E50=$E$3,"",IF(J50=$J$21,"",IF(E50=$E$19,"",$Q$2&amp;":"&amp;$R$2)))</f>
        <v>IVA:19</v>
      </c>
      <c r="L50" t="str">
        <f>IF(K50="",IF(J50=$J$21,Q$3&amp;":"&amp;$R$3,""),$Q$3&amp;":"&amp;$R$3)</f>
        <v>RETE FUENTE:2,5</v>
      </c>
      <c r="M50" t="str">
        <f>IF(K50="","",IF(E50=$E$8,$Q$4&amp;":"&amp;$R$4,""))</f>
        <v>RETE IVA:2,85</v>
      </c>
      <c r="N50" t="str">
        <f>IF(D50="BOGOTA",$Q$5&amp;":"&amp;$R$5,"")</f>
        <v>ICA:1,104</v>
      </c>
    </row>
    <row r="51" spans="1:14" x14ac:dyDescent="0.35">
      <c r="A51" s="1">
        <v>901158101</v>
      </c>
      <c r="B51" t="s">
        <v>97</v>
      </c>
      <c r="D51" s="6" t="s">
        <v>144</v>
      </c>
      <c r="E51" s="4" t="s">
        <v>125</v>
      </c>
      <c r="G51" s="4" t="s">
        <v>133</v>
      </c>
      <c r="K51" s="14" t="str">
        <f>IF(E51=$E$3,"",IF(J51=$J$21,"",IF(E51=$E$19,"",$Q$2&amp;":"&amp;$R$2)))</f>
        <v>IVA:19</v>
      </c>
      <c r="L51" t="str">
        <f>IF(K51="",IF(J51=$J$21,Q$3&amp;":"&amp;$R$3,""),$Q$3&amp;":"&amp;$R$3)</f>
        <v>RETE FUENTE:2,5</v>
      </c>
      <c r="M51" t="str">
        <f>IF(K51="","",IF(E51=$E$8,$Q$4&amp;":"&amp;$R$4,""))</f>
        <v/>
      </c>
      <c r="N51" t="str">
        <f>IF(D51="BOGOTA",$Q$5&amp;":"&amp;$R$5,"")</f>
        <v/>
      </c>
    </row>
    <row r="52" spans="1:14" x14ac:dyDescent="0.35">
      <c r="A52" s="1">
        <v>900975575</v>
      </c>
      <c r="B52" t="s">
        <v>94</v>
      </c>
      <c r="C52" s="4" t="s">
        <v>186</v>
      </c>
      <c r="D52" s="6" t="s">
        <v>144</v>
      </c>
      <c r="E52" s="4" t="s">
        <v>125</v>
      </c>
      <c r="G52" s="4" t="s">
        <v>133</v>
      </c>
      <c r="K52" s="14" t="str">
        <f>IF(E52=$E$3,"",IF(J52=$J$21,"",IF(E52=$E$19,"",$Q$2&amp;":"&amp;$R$2)))</f>
        <v>IVA:19</v>
      </c>
      <c r="L52" t="str">
        <f>IF(K52="",IF(J52=$J$21,Q$3&amp;":"&amp;$R$3,""),$Q$3&amp;":"&amp;$R$3)</f>
        <v>RETE FUENTE:2,5</v>
      </c>
      <c r="M52" t="str">
        <f>IF(K52="","",IF(E52=$E$8,$Q$4&amp;":"&amp;$R$4,""))</f>
        <v/>
      </c>
      <c r="N52" t="str">
        <f>IF(D52="BOGOTA",$Q$5&amp;":"&amp;$R$5,"")</f>
        <v/>
      </c>
    </row>
    <row r="53" spans="1:14" x14ac:dyDescent="0.35">
      <c r="A53" s="1">
        <v>1130622789</v>
      </c>
      <c r="B53" t="s">
        <v>121</v>
      </c>
      <c r="C53" s="4" t="s">
        <v>186</v>
      </c>
      <c r="D53" s="6" t="s">
        <v>149</v>
      </c>
      <c r="E53" s="4" t="s">
        <v>126</v>
      </c>
      <c r="H53" s="4" t="s">
        <v>133</v>
      </c>
      <c r="K53" s="14" t="str">
        <f>IF(E53=$E$3,"",IF(J53=$J$21,"",IF(E53=$E$19,"",$Q$2&amp;":"&amp;$R$2)))</f>
        <v/>
      </c>
      <c r="L53" t="str">
        <f>IF(K53="",IF(J53=$J$21,Q$3&amp;":"&amp;$R$3,""),$Q$3&amp;":"&amp;$R$3)</f>
        <v/>
      </c>
      <c r="M53" t="str">
        <f>IF(K53="","",IF(E53=$E$8,$Q$4&amp;":"&amp;$R$4,""))</f>
        <v/>
      </c>
      <c r="N53" t="str">
        <f>IF(D53="BOGOTA",$Q$5&amp;":"&amp;$R$5,"")</f>
        <v/>
      </c>
    </row>
    <row r="54" spans="1:14" x14ac:dyDescent="0.35">
      <c r="A54" s="1">
        <v>901725583</v>
      </c>
      <c r="B54" t="s">
        <v>116</v>
      </c>
      <c r="C54" s="4" t="s">
        <v>186</v>
      </c>
      <c r="D54" s="6" t="s">
        <v>160</v>
      </c>
      <c r="E54" s="4" t="s">
        <v>125</v>
      </c>
      <c r="G54" s="4" t="s">
        <v>133</v>
      </c>
      <c r="K54" s="14" t="str">
        <f>IF(E54=$E$3,"",IF(J54=$J$21,"",IF(E54=$E$19,"",$Q$2&amp;":"&amp;$R$2)))</f>
        <v>IVA:19</v>
      </c>
      <c r="L54" t="str">
        <f>IF(K54="",IF(J54=$J$21,Q$3&amp;":"&amp;$R$3,""),$Q$3&amp;":"&amp;$R$3)</f>
        <v>RETE FUENTE:2,5</v>
      </c>
      <c r="M54" t="str">
        <f>IF(K54="","",IF(E54=$E$8,$Q$4&amp;":"&amp;$R$4,""))</f>
        <v/>
      </c>
      <c r="N54" t="str">
        <f>IF(D54="BOGOTA",$Q$5&amp;":"&amp;$R$5,"")</f>
        <v/>
      </c>
    </row>
    <row r="55" spans="1:14" x14ac:dyDescent="0.35">
      <c r="A55" s="7">
        <v>900970527</v>
      </c>
      <c r="B55" s="8" t="s">
        <v>93</v>
      </c>
      <c r="C55" s="4" t="s">
        <v>186</v>
      </c>
      <c r="D55" s="9" t="s">
        <v>132</v>
      </c>
      <c r="E55" s="4" t="s">
        <v>125</v>
      </c>
      <c r="F55" s="13"/>
      <c r="G55" s="13" t="s">
        <v>133</v>
      </c>
      <c r="H55" s="13"/>
      <c r="I55" s="13"/>
      <c r="J55" s="8" t="s">
        <v>133</v>
      </c>
      <c r="K55" s="14" t="str">
        <f>IF(E55=$E$3,"",IF(J55=$J$21,"",IF(E55=$E$19,"",$Q$2&amp;":"&amp;$R$2)))</f>
        <v/>
      </c>
      <c r="L55" t="str">
        <f>IF(K55="",IF(J55=$J$21,Q$3&amp;":"&amp;$R$3,""),$Q$3&amp;":"&amp;$R$3)</f>
        <v>RETE FUENTE:2,5</v>
      </c>
      <c r="M55" t="str">
        <f>IF(K55="","",IF(E55=$E$8,$Q$4&amp;":"&amp;$R$4,""))</f>
        <v/>
      </c>
      <c r="N55" t="str">
        <f>IF(D55="BOGOTA",$Q$5&amp;":"&amp;$R$5,"")</f>
        <v/>
      </c>
    </row>
    <row r="56" spans="1:14" x14ac:dyDescent="0.35">
      <c r="A56" s="1">
        <v>74322676</v>
      </c>
      <c r="B56" t="s">
        <v>4</v>
      </c>
      <c r="D56" s="6" t="s">
        <v>147</v>
      </c>
      <c r="E56" s="4" t="s">
        <v>125</v>
      </c>
      <c r="G56" s="4" t="s">
        <v>133</v>
      </c>
      <c r="K56" s="14" t="str">
        <f>IF(E56=$E$3,"",IF(J56=$J$21,"",IF(E56=$E$19,"",$Q$2&amp;":"&amp;$R$2)))</f>
        <v>IVA:19</v>
      </c>
      <c r="L56" t="str">
        <f>IF(K56="",IF(J56=$J$21,Q$3&amp;":"&amp;$R$3,""),$Q$3&amp;":"&amp;$R$3)</f>
        <v>RETE FUENTE:2,5</v>
      </c>
      <c r="M56" t="str">
        <f>IF(K56="","",IF(E56=$E$8,$Q$4&amp;":"&amp;$R$4,""))</f>
        <v/>
      </c>
      <c r="N56" t="str">
        <f>IF(D56="BOGOTA",$Q$5&amp;":"&amp;$R$5,"")</f>
        <v>ICA:1,104</v>
      </c>
    </row>
    <row r="57" spans="1:14" x14ac:dyDescent="0.35">
      <c r="A57" s="1">
        <v>444444595</v>
      </c>
      <c r="B57" t="s">
        <v>18</v>
      </c>
      <c r="D57" s="6" t="s">
        <v>148</v>
      </c>
      <c r="E57" s="4" t="s">
        <v>134</v>
      </c>
      <c r="I57" s="4" t="s">
        <v>133</v>
      </c>
      <c r="K57" s="14" t="str">
        <f>IF(E57=$E$3,"",IF(J57=$J$21,"",IF(E57=$E$19,"",$Q$2&amp;":"&amp;$R$2)))</f>
        <v/>
      </c>
      <c r="L57" t="str">
        <f>IF(K57="",IF(J57=$J$21,Q$3&amp;":"&amp;$R$3,""),$Q$3&amp;":"&amp;$R$3)</f>
        <v/>
      </c>
      <c r="M57" t="str">
        <f>IF(K57="","",IF(E57=$E$8,$Q$4&amp;":"&amp;$R$4,""))</f>
        <v/>
      </c>
      <c r="N57" t="str">
        <f>IF(D57="BOGOTA",$Q$5&amp;":"&amp;$R$5,"")</f>
        <v/>
      </c>
    </row>
    <row r="58" spans="1:14" x14ac:dyDescent="0.35">
      <c r="A58" s="7">
        <v>444444598</v>
      </c>
      <c r="B58" s="8" t="s">
        <v>19</v>
      </c>
      <c r="C58" s="13"/>
      <c r="D58" s="9" t="s">
        <v>145</v>
      </c>
      <c r="E58" s="4" t="s">
        <v>134</v>
      </c>
      <c r="F58" s="13"/>
      <c r="G58" s="13"/>
      <c r="H58" s="13"/>
      <c r="I58" s="13" t="s">
        <v>133</v>
      </c>
      <c r="J58" s="8"/>
      <c r="K58" s="14" t="str">
        <f>IF(E58=$E$3,"",IF(J58=$J$21,"",IF(E58=$E$19,"",$Q$2&amp;":"&amp;$R$2)))</f>
        <v/>
      </c>
      <c r="L58" t="str">
        <f>IF(K58="",IF(J58=$J$21,Q$3&amp;":"&amp;$R$3,""),$Q$3&amp;":"&amp;$R$3)</f>
        <v/>
      </c>
      <c r="M58" t="str">
        <f>IF(K58="","",IF(E58=$E$8,$Q$4&amp;":"&amp;$R$4,""))</f>
        <v/>
      </c>
      <c r="N58" t="str">
        <f>IF(D58="BOGOTA",$Q$5&amp;":"&amp;$R$5,"")</f>
        <v/>
      </c>
    </row>
    <row r="59" spans="1:14" x14ac:dyDescent="0.35">
      <c r="A59" s="1">
        <v>860527917</v>
      </c>
      <c r="B59" t="s">
        <v>52</v>
      </c>
      <c r="D59" s="6" t="s">
        <v>147</v>
      </c>
      <c r="E59" s="4" t="s">
        <v>125</v>
      </c>
      <c r="G59" s="4" t="s">
        <v>133</v>
      </c>
      <c r="K59" s="14" t="str">
        <f>IF(E59=$E$3,"",IF(J59=$J$21,"",IF(E59=$E$19,"",$Q$2&amp;":"&amp;$R$2)))</f>
        <v>IVA:19</v>
      </c>
      <c r="L59" t="str">
        <f>IF(K59="",IF(J59=$J$21,Q$3&amp;":"&amp;$R$3,""),$Q$3&amp;":"&amp;$R$3)</f>
        <v>RETE FUENTE:2,5</v>
      </c>
      <c r="M59" t="str">
        <f>IF(K59="","",IF(E59=$E$8,$Q$4&amp;":"&amp;$R$4,""))</f>
        <v/>
      </c>
      <c r="N59" t="str">
        <f>IF(D59="BOGOTA",$Q$5&amp;":"&amp;$R$5,"")</f>
        <v>ICA:1,104</v>
      </c>
    </row>
    <row r="60" spans="1:14" x14ac:dyDescent="0.35">
      <c r="A60" s="1">
        <v>860001777</v>
      </c>
      <c r="B60" t="s">
        <v>45</v>
      </c>
      <c r="D60" s="6" t="s">
        <v>147</v>
      </c>
      <c r="E60" s="4" t="s">
        <v>124</v>
      </c>
      <c r="F60" s="4" t="s">
        <v>133</v>
      </c>
      <c r="K60" s="14" t="str">
        <f>IF(E60=$E$3,"",IF(J60=$J$21,"",IF(E60=$E$19,"",$Q$2&amp;":"&amp;$R$2)))</f>
        <v>IVA:19</v>
      </c>
      <c r="L60" t="str">
        <f>IF(K60="",IF(J60=$J$21,Q$3&amp;":"&amp;$R$3,""),$Q$3&amp;":"&amp;$R$3)</f>
        <v>RETE FUENTE:2,5</v>
      </c>
      <c r="M60" t="str">
        <f>IF(K60="","",IF(E60=$E$8,$Q$4&amp;":"&amp;$R$4,""))</f>
        <v>RETE IVA:2,85</v>
      </c>
      <c r="N60" t="str">
        <f>IF(D60="BOGOTA",$Q$5&amp;":"&amp;$R$5,"")</f>
        <v>ICA:1,104</v>
      </c>
    </row>
    <row r="61" spans="1:14" x14ac:dyDescent="0.35">
      <c r="A61" s="1">
        <v>817000809</v>
      </c>
      <c r="B61" t="s">
        <v>36</v>
      </c>
      <c r="D61" s="6" t="s">
        <v>161</v>
      </c>
      <c r="E61" s="4" t="s">
        <v>125</v>
      </c>
      <c r="G61" s="4" t="s">
        <v>133</v>
      </c>
      <c r="K61" s="14" t="str">
        <f>IF(E61=$E$3,"",IF(J61=$J$21,"",IF(E61=$E$19,"",$Q$2&amp;":"&amp;$R$2)))</f>
        <v>IVA:19</v>
      </c>
      <c r="L61" t="str">
        <f>IF(K61="",IF(J61=$J$21,Q$3&amp;":"&amp;$R$3,""),$Q$3&amp;":"&amp;$R$3)</f>
        <v>RETE FUENTE:2,5</v>
      </c>
      <c r="M61" t="str">
        <f>IF(K61="","",IF(E61=$E$8,$Q$4&amp;":"&amp;$R$4,""))</f>
        <v/>
      </c>
      <c r="N61" t="str">
        <f>IF(D61="BOGOTA",$Q$5&amp;":"&amp;$R$5,"")</f>
        <v/>
      </c>
    </row>
    <row r="62" spans="1:14" x14ac:dyDescent="0.35">
      <c r="A62" s="1">
        <v>900150027</v>
      </c>
      <c r="B62" t="s">
        <v>64</v>
      </c>
      <c r="D62" s="6" t="s">
        <v>162</v>
      </c>
      <c r="E62" s="4" t="s">
        <v>125</v>
      </c>
      <c r="G62" s="4" t="s">
        <v>133</v>
      </c>
      <c r="K62" s="14" t="str">
        <f>IF(E62=$E$3,"",IF(J62=$J$21,"",IF(E62=$E$19,"",$Q$2&amp;":"&amp;$R$2)))</f>
        <v>IVA:19</v>
      </c>
      <c r="L62" t="str">
        <f>IF(K62="",IF(J62=$J$21,Q$3&amp;":"&amp;$R$3,""),$Q$3&amp;":"&amp;$R$3)</f>
        <v>RETE FUENTE:2,5</v>
      </c>
      <c r="M62" t="str">
        <f>IF(K62="","",IF(E62=$E$8,$Q$4&amp;":"&amp;$R$4,""))</f>
        <v/>
      </c>
      <c r="N62" t="str">
        <f>IF(D62="BOGOTA",$Q$5&amp;":"&amp;$R$5,"")</f>
        <v/>
      </c>
    </row>
    <row r="63" spans="1:14" x14ac:dyDescent="0.35">
      <c r="A63" s="1">
        <v>901460885</v>
      </c>
      <c r="B63" t="s">
        <v>110</v>
      </c>
      <c r="C63" s="4" t="s">
        <v>186</v>
      </c>
      <c r="D63" s="6" t="s">
        <v>163</v>
      </c>
      <c r="E63" s="4" t="s">
        <v>125</v>
      </c>
      <c r="G63" s="4" t="s">
        <v>133</v>
      </c>
      <c r="K63" s="14" t="str">
        <f>IF(E63=$E$3,"",IF(J63=$J$21,"",IF(E63=$E$19,"",$Q$2&amp;":"&amp;$R$2)))</f>
        <v>IVA:19</v>
      </c>
      <c r="L63" t="str">
        <f>IF(K63="",IF(J63=$J$21,Q$3&amp;":"&amp;$R$3,""),$Q$3&amp;":"&amp;$R$3)</f>
        <v>RETE FUENTE:2,5</v>
      </c>
      <c r="M63" t="str">
        <f>IF(K63="","",IF(E63=$E$8,$Q$4&amp;":"&amp;$R$4,""))</f>
        <v/>
      </c>
      <c r="N63" t="str">
        <f>IF(D63="BOGOTA",$Q$5&amp;":"&amp;$R$5,"")</f>
        <v/>
      </c>
    </row>
    <row r="64" spans="1:14" x14ac:dyDescent="0.35">
      <c r="A64" s="1">
        <v>860024446</v>
      </c>
      <c r="B64" t="s">
        <v>48</v>
      </c>
      <c r="D64" s="6" t="s">
        <v>164</v>
      </c>
      <c r="E64" s="4" t="s">
        <v>125</v>
      </c>
      <c r="G64" s="4" t="s">
        <v>133</v>
      </c>
      <c r="K64" s="14" t="str">
        <f>IF(E64=$E$3,"",IF(J64=$J$21,"",IF(E64=$E$19,"",$Q$2&amp;":"&amp;$R$2)))</f>
        <v>IVA:19</v>
      </c>
      <c r="L64" t="str">
        <f>IF(K64="",IF(J64=$J$21,Q$3&amp;":"&amp;$R$3,""),$Q$3&amp;":"&amp;$R$3)</f>
        <v>RETE FUENTE:2,5</v>
      </c>
      <c r="M64" t="str">
        <f>IF(K64="","",IF(E64=$E$8,$Q$4&amp;":"&amp;$R$4,""))</f>
        <v/>
      </c>
      <c r="N64" t="str">
        <f>IF(D64="BOGOTA",$Q$5&amp;":"&amp;$R$5,"")</f>
        <v/>
      </c>
    </row>
    <row r="65" spans="1:14" x14ac:dyDescent="0.35">
      <c r="A65" s="1">
        <v>860049740</v>
      </c>
      <c r="B65" t="s">
        <v>50</v>
      </c>
      <c r="D65" s="6" t="s">
        <v>147</v>
      </c>
      <c r="E65" s="4" t="s">
        <v>125</v>
      </c>
      <c r="G65" s="4" t="s">
        <v>133</v>
      </c>
      <c r="K65" s="14" t="str">
        <f>IF(E65=$E$3,"",IF(J65=$J$21,"",IF(E65=$E$19,"",$Q$2&amp;":"&amp;$R$2)))</f>
        <v>IVA:19</v>
      </c>
      <c r="L65" t="str">
        <f>IF(K65="",IF(J65=$J$21,Q$3&amp;":"&amp;$R$3,""),$Q$3&amp;":"&amp;$R$3)</f>
        <v>RETE FUENTE:2,5</v>
      </c>
      <c r="M65" t="str">
        <f>IF(K65="","",IF(E65=$E$8,$Q$4&amp;":"&amp;$R$4,""))</f>
        <v/>
      </c>
      <c r="N65" t="str">
        <f>IF(D65="BOGOTA",$Q$5&amp;":"&amp;$R$5,"")</f>
        <v>ICA:1,104</v>
      </c>
    </row>
    <row r="66" spans="1:14" x14ac:dyDescent="0.35">
      <c r="A66" s="1">
        <v>901223883</v>
      </c>
      <c r="B66" t="s">
        <v>100</v>
      </c>
      <c r="D66" s="6" t="s">
        <v>147</v>
      </c>
      <c r="E66" s="4" t="s">
        <v>125</v>
      </c>
      <c r="G66" s="4" t="s">
        <v>133</v>
      </c>
      <c r="K66" s="14" t="str">
        <f>IF(E66=$E$3,"",IF(J66=$J$21,"",IF(E66=$E$19,"",$Q$2&amp;":"&amp;$R$2)))</f>
        <v>IVA:19</v>
      </c>
      <c r="L66" t="str">
        <f>IF(K66="",IF(J66=$J$21,Q$3&amp;":"&amp;$R$3,""),$Q$3&amp;":"&amp;$R$3)</f>
        <v>RETE FUENTE:2,5</v>
      </c>
      <c r="M66" t="str">
        <f>IF(K66="","",IF(E66=$E$8,$Q$4&amp;":"&amp;$R$4,""))</f>
        <v/>
      </c>
      <c r="N66" t="str">
        <f>IF(D66="BOGOTA",$Q$5&amp;":"&amp;$R$5,"")</f>
        <v>ICA:1,104</v>
      </c>
    </row>
    <row r="67" spans="1:14" x14ac:dyDescent="0.35">
      <c r="A67" s="1">
        <v>900368510</v>
      </c>
      <c r="B67" t="s">
        <v>73</v>
      </c>
      <c r="C67" s="4" t="s">
        <v>186</v>
      </c>
      <c r="D67" s="6" t="s">
        <v>130</v>
      </c>
      <c r="E67" s="4" t="s">
        <v>125</v>
      </c>
      <c r="G67" s="4" t="s">
        <v>133</v>
      </c>
      <c r="K67" s="14" t="str">
        <f>IF(E67=$E$3,"",IF(J67=$J$21,"",IF(E67=$E$19,"",$Q$2&amp;":"&amp;$R$2)))</f>
        <v>IVA:19</v>
      </c>
      <c r="L67" t="str">
        <f>IF(K67="",IF(J67=$J$21,Q$3&amp;":"&amp;$R$3,""),$Q$3&amp;":"&amp;$R$3)</f>
        <v>RETE FUENTE:2,5</v>
      </c>
      <c r="M67" t="str">
        <f>IF(K67="","",IF(E67=$E$8,$Q$4&amp;":"&amp;$R$4,""))</f>
        <v/>
      </c>
      <c r="N67" t="str">
        <f>IF(D67="BOGOTA",$Q$5&amp;":"&amp;$R$5,"")</f>
        <v/>
      </c>
    </row>
    <row r="68" spans="1:14" x14ac:dyDescent="0.35">
      <c r="A68" s="1">
        <v>901338950</v>
      </c>
      <c r="B68" t="s">
        <v>105</v>
      </c>
      <c r="D68" s="6" t="s">
        <v>147</v>
      </c>
      <c r="E68" s="4" t="s">
        <v>125</v>
      </c>
      <c r="G68" s="4" t="s">
        <v>133</v>
      </c>
      <c r="K68" s="14" t="str">
        <f>IF(E68=$E$3,"",IF(J68=$J$21,"",IF(E68=$E$19,"",$Q$2&amp;":"&amp;$R$2)))</f>
        <v>IVA:19</v>
      </c>
      <c r="L68" t="str">
        <f>IF(K68="",IF(J68=$J$21,Q$3&amp;":"&amp;$R$3,""),$Q$3&amp;":"&amp;$R$3)</f>
        <v>RETE FUENTE:2,5</v>
      </c>
      <c r="M68" t="str">
        <f>IF(K68="","",IF(E68=$E$8,$Q$4&amp;":"&amp;$R$4,""))</f>
        <v/>
      </c>
      <c r="N68" t="str">
        <f>IF(D68="BOGOTA",$Q$5&amp;":"&amp;$R$5,"")</f>
        <v>ICA:1,104</v>
      </c>
    </row>
    <row r="69" spans="1:14" x14ac:dyDescent="0.35">
      <c r="A69" s="1">
        <v>901686419</v>
      </c>
      <c r="B69" t="s">
        <v>115</v>
      </c>
      <c r="C69" s="4" t="s">
        <v>186</v>
      </c>
      <c r="D69" s="6" t="s">
        <v>165</v>
      </c>
      <c r="E69" s="4" t="s">
        <v>125</v>
      </c>
      <c r="G69" s="4" t="s">
        <v>133</v>
      </c>
      <c r="K69" s="14" t="str">
        <f>IF(E69=$E$3,"",IF(J69=$J$21,"",IF(E69=$E$19,"",$Q$2&amp;":"&amp;$R$2)))</f>
        <v>IVA:19</v>
      </c>
      <c r="L69" t="str">
        <f>IF(K69="",IF(J69=$J$21,Q$3&amp;":"&amp;$R$3,""),$Q$3&amp;":"&amp;$R$3)</f>
        <v>RETE FUENTE:2,5</v>
      </c>
      <c r="M69" t="str">
        <f>IF(K69="","",IF(E69=$E$8,$Q$4&amp;":"&amp;$R$4,""))</f>
        <v/>
      </c>
      <c r="N69" t="str">
        <f>IF(D69="BOGOTA",$Q$5&amp;":"&amp;$R$5,"")</f>
        <v/>
      </c>
    </row>
    <row r="70" spans="1:14" x14ac:dyDescent="0.35">
      <c r="A70" s="1">
        <v>800174633</v>
      </c>
      <c r="B70" t="s">
        <v>27</v>
      </c>
      <c r="D70" s="6" t="s">
        <v>147</v>
      </c>
      <c r="E70" s="4" t="s">
        <v>125</v>
      </c>
      <c r="G70" s="4" t="s">
        <v>133</v>
      </c>
      <c r="K70" s="14" t="str">
        <f>IF(E70=$E$3,"",IF(J70=$J$21,"",IF(E70=$E$19,"",$Q$2&amp;":"&amp;$R$2)))</f>
        <v>IVA:19</v>
      </c>
      <c r="L70" t="str">
        <f>IF(K70="",IF(J70=$J$21,Q$3&amp;":"&amp;$R$3,""),$Q$3&amp;":"&amp;$R$3)</f>
        <v>RETE FUENTE:2,5</v>
      </c>
      <c r="M70" t="str">
        <f>IF(K70="","",IF(E70=$E$8,$Q$4&amp;":"&amp;$R$4,""))</f>
        <v/>
      </c>
      <c r="N70" t="str">
        <f>IF(D70="BOGOTA",$Q$5&amp;":"&amp;$R$5,"")</f>
        <v>ICA:1,104</v>
      </c>
    </row>
    <row r="71" spans="1:14" x14ac:dyDescent="0.35">
      <c r="A71" s="1">
        <v>444444575</v>
      </c>
      <c r="B71" t="s">
        <v>15</v>
      </c>
      <c r="D71" s="6" t="s">
        <v>166</v>
      </c>
      <c r="E71" s="4" t="s">
        <v>134</v>
      </c>
      <c r="I71" s="4" t="s">
        <v>133</v>
      </c>
      <c r="K71" s="14" t="str">
        <f>IF(E71=$E$3,"",IF(J71=$J$21,"",IF(E71=$E$19,"",$Q$2&amp;":"&amp;$R$2)))</f>
        <v/>
      </c>
      <c r="L71" t="str">
        <f>IF(K71="",IF(J71=$J$21,Q$3&amp;":"&amp;$R$3,""),$Q$3&amp;":"&amp;$R$3)</f>
        <v/>
      </c>
      <c r="M71" t="str">
        <f>IF(K71="","",IF(E71=$E$8,$Q$4&amp;":"&amp;$R$4,""))</f>
        <v/>
      </c>
      <c r="N71" t="str">
        <f>IF(D71="BOGOTA",$Q$5&amp;":"&amp;$R$5,"")</f>
        <v/>
      </c>
    </row>
    <row r="72" spans="1:14" x14ac:dyDescent="0.35">
      <c r="A72" s="1">
        <v>900131540</v>
      </c>
      <c r="B72" t="s">
        <v>62</v>
      </c>
      <c r="D72" s="6" t="s">
        <v>167</v>
      </c>
      <c r="E72" s="4" t="s">
        <v>125</v>
      </c>
      <c r="G72" s="4" t="s">
        <v>133</v>
      </c>
      <c r="K72" s="14" t="str">
        <f>IF(E72=$E$3,"",IF(J72=$J$21,"",IF(E72=$E$19,"",$Q$2&amp;":"&amp;$R$2)))</f>
        <v>IVA:19</v>
      </c>
      <c r="L72" t="str">
        <f>IF(K72="",IF(J72=$J$21,Q$3&amp;":"&amp;$R$3,""),$Q$3&amp;":"&amp;$R$3)</f>
        <v>RETE FUENTE:2,5</v>
      </c>
      <c r="M72" t="str">
        <f>IF(K72="","",IF(E72=$E$8,$Q$4&amp;":"&amp;$R$4,""))</f>
        <v/>
      </c>
      <c r="N72" t="str">
        <f>IF(D72="BOGOTA",$Q$5&amp;":"&amp;$R$5,"")</f>
        <v/>
      </c>
    </row>
    <row r="73" spans="1:14" x14ac:dyDescent="0.35">
      <c r="A73" s="1">
        <v>900866837</v>
      </c>
      <c r="B73" t="s">
        <v>91</v>
      </c>
      <c r="D73" s="6" t="s">
        <v>131</v>
      </c>
      <c r="E73" s="4" t="s">
        <v>125</v>
      </c>
      <c r="G73" s="4" t="s">
        <v>133</v>
      </c>
      <c r="K73" s="14" t="str">
        <f>IF(E73=$E$3,"",IF(J73=$J$21,"",IF(E73=$E$19,"",$Q$2&amp;":"&amp;$R$2)))</f>
        <v>IVA:19</v>
      </c>
      <c r="L73" t="str">
        <f>IF(K73="",IF(J73=$J$21,Q$3&amp;":"&amp;$R$3,""),$Q$3&amp;":"&amp;$R$3)</f>
        <v>RETE FUENTE:2,5</v>
      </c>
      <c r="M73" t="str">
        <f>IF(K73="","",IF(E73=$E$8,$Q$4&amp;":"&amp;$R$4,""))</f>
        <v/>
      </c>
      <c r="N73" t="str">
        <f>IF(D73="BOGOTA",$Q$5&amp;":"&amp;$R$5,"")</f>
        <v/>
      </c>
    </row>
    <row r="74" spans="1:14" x14ac:dyDescent="0.35">
      <c r="A74" s="7">
        <v>860074358</v>
      </c>
      <c r="B74" s="8" t="s">
        <v>51</v>
      </c>
      <c r="C74" s="13"/>
      <c r="D74" s="9" t="s">
        <v>147</v>
      </c>
      <c r="E74" s="4" t="s">
        <v>125</v>
      </c>
      <c r="F74" s="13"/>
      <c r="G74" s="13" t="s">
        <v>133</v>
      </c>
      <c r="H74" s="13"/>
      <c r="I74" s="13"/>
      <c r="J74" s="8"/>
      <c r="K74" s="14" t="str">
        <f>IF(E74=$E$3,"",IF(J74=$J$21,"",IF(E74=$E$19,"",$Q$2&amp;":"&amp;$R$2)))</f>
        <v>IVA:19</v>
      </c>
      <c r="L74" t="str">
        <f>IF(K74="",IF(J74=$J$21,Q$3&amp;":"&amp;$R$3,""),$Q$3&amp;":"&amp;$R$3)</f>
        <v>RETE FUENTE:2,5</v>
      </c>
      <c r="M74" t="str">
        <f>IF(K74="","",IF(E74=$E$8,$Q$4&amp;":"&amp;$R$4,""))</f>
        <v/>
      </c>
      <c r="N74" t="str">
        <f>IF(D74="BOGOTA",$Q$5&amp;":"&amp;$R$5,"")</f>
        <v>ICA:1,104</v>
      </c>
    </row>
    <row r="75" spans="1:14" x14ac:dyDescent="0.35">
      <c r="A75" s="1">
        <v>901371424</v>
      </c>
      <c r="B75" t="s">
        <v>106</v>
      </c>
      <c r="C75" s="4" t="s">
        <v>186</v>
      </c>
      <c r="D75" s="6" t="s">
        <v>168</v>
      </c>
      <c r="E75" s="4" t="s">
        <v>125</v>
      </c>
      <c r="G75" s="4" t="s">
        <v>133</v>
      </c>
      <c r="K75" s="14" t="str">
        <f>IF(E75=$E$3,"",IF(J75=$J$21,"",IF(E75=$E$19,"",$Q$2&amp;":"&amp;$R$2)))</f>
        <v>IVA:19</v>
      </c>
      <c r="L75" t="str">
        <f>IF(K75="",IF(J75=$J$21,Q$3&amp;":"&amp;$R$3,""),$Q$3&amp;":"&amp;$R$3)</f>
        <v>RETE FUENTE:2,5</v>
      </c>
      <c r="M75" t="str">
        <f>IF(K75="","",IF(E75=$E$8,$Q$4&amp;":"&amp;$R$4,""))</f>
        <v/>
      </c>
      <c r="N75" t="str">
        <f>IF(D75="BOGOTA",$Q$5&amp;":"&amp;$R$5,"")</f>
        <v/>
      </c>
    </row>
    <row r="76" spans="1:14" x14ac:dyDescent="0.35">
      <c r="A76" s="1">
        <v>890907288</v>
      </c>
      <c r="B76" t="s">
        <v>56</v>
      </c>
      <c r="D76" s="6" t="s">
        <v>150</v>
      </c>
      <c r="E76" s="4" t="s">
        <v>125</v>
      </c>
      <c r="G76" s="4" t="s">
        <v>133</v>
      </c>
      <c r="K76" s="14" t="str">
        <f>IF(E76=$E$3,"",IF(J76=$J$21,"",IF(E76=$E$19,"",$Q$2&amp;":"&amp;$R$2)))</f>
        <v>IVA:19</v>
      </c>
      <c r="L76" t="str">
        <f>IF(K76="",IF(J76=$J$21,Q$3&amp;":"&amp;$R$3,""),$Q$3&amp;":"&amp;$R$3)</f>
        <v>RETE FUENTE:2,5</v>
      </c>
      <c r="M76" t="str">
        <f>IF(K76="","",IF(E76=$E$8,$Q$4&amp;":"&amp;$R$4,""))</f>
        <v/>
      </c>
      <c r="N76" t="str">
        <f>IF(D76="BOGOTA",$Q$5&amp;":"&amp;$R$5,"")</f>
        <v/>
      </c>
    </row>
    <row r="77" spans="1:14" x14ac:dyDescent="0.35">
      <c r="A77" s="1">
        <v>900830888</v>
      </c>
      <c r="B77" t="s">
        <v>88</v>
      </c>
      <c r="C77" s="4" t="s">
        <v>186</v>
      </c>
      <c r="D77" s="6" t="s">
        <v>131</v>
      </c>
      <c r="E77" s="4" t="s">
        <v>125</v>
      </c>
      <c r="G77" s="4" t="s">
        <v>133</v>
      </c>
      <c r="K77" s="14" t="str">
        <f>IF(E77=$E$3,"",IF(J77=$J$21,"",IF(E77=$E$19,"",$Q$2&amp;":"&amp;$R$2)))</f>
        <v>IVA:19</v>
      </c>
      <c r="L77" t="str">
        <f>IF(K77="",IF(J77=$J$21,Q$3&amp;":"&amp;$R$3,""),$Q$3&amp;":"&amp;$R$3)</f>
        <v>RETE FUENTE:2,5</v>
      </c>
      <c r="M77" t="str">
        <f>IF(K77="","",IF(E77=$E$8,$Q$4&amp;":"&amp;$R$4,""))</f>
        <v/>
      </c>
      <c r="N77" t="str">
        <f>IF(D77="BOGOTA",$Q$5&amp;":"&amp;$R$5,"")</f>
        <v/>
      </c>
    </row>
    <row r="78" spans="1:14" x14ac:dyDescent="0.35">
      <c r="A78" s="1">
        <v>900369941</v>
      </c>
      <c r="B78" t="s">
        <v>74</v>
      </c>
      <c r="D78" s="6" t="s">
        <v>162</v>
      </c>
      <c r="E78" s="4" t="s">
        <v>125</v>
      </c>
      <c r="G78" s="4" t="s">
        <v>133</v>
      </c>
      <c r="K78" s="14" t="str">
        <f>IF(E78=$E$3,"",IF(J78=$J$21,"",IF(E78=$E$19,"",$Q$2&amp;":"&amp;$R$2)))</f>
        <v>IVA:19</v>
      </c>
      <c r="L78" t="str">
        <f>IF(K78="",IF(J78=$J$21,Q$3&amp;":"&amp;$R$3,""),$Q$3&amp;":"&amp;$R$3)</f>
        <v>RETE FUENTE:2,5</v>
      </c>
      <c r="M78" t="str">
        <f>IF(K78="","",IF(E78=$E$8,$Q$4&amp;":"&amp;$R$4,""))</f>
        <v/>
      </c>
      <c r="N78" t="str">
        <f>IF(D78="BOGOTA",$Q$5&amp;":"&amp;$R$5,"")</f>
        <v/>
      </c>
    </row>
    <row r="79" spans="1:14" x14ac:dyDescent="0.35">
      <c r="A79" s="1">
        <v>800053530</v>
      </c>
      <c r="B79" t="s">
        <v>23</v>
      </c>
      <c r="D79" s="6" t="s">
        <v>163</v>
      </c>
      <c r="E79" s="4" t="s">
        <v>125</v>
      </c>
      <c r="G79" s="4" t="s">
        <v>133</v>
      </c>
      <c r="K79" s="14" t="str">
        <f>IF(E79=$E$3,"",IF(J79=$J$21,"",IF(E79=$E$19,"",$Q$2&amp;":"&amp;$R$2)))</f>
        <v>IVA:19</v>
      </c>
      <c r="L79" t="str">
        <f>IF(K79="",IF(J79=$J$21,Q$3&amp;":"&amp;$R$3,""),$Q$3&amp;":"&amp;$R$3)</f>
        <v>RETE FUENTE:2,5</v>
      </c>
      <c r="M79" t="str">
        <f>IF(K79="","",IF(E79=$E$8,$Q$4&amp;":"&amp;$R$4,""))</f>
        <v/>
      </c>
      <c r="N79" t="str">
        <f>IF(D79="BOGOTA",$Q$5&amp;":"&amp;$R$5,"")</f>
        <v/>
      </c>
    </row>
    <row r="80" spans="1:14" x14ac:dyDescent="0.35">
      <c r="A80" s="1">
        <v>890100837</v>
      </c>
      <c r="B80" t="s">
        <v>53</v>
      </c>
      <c r="D80" s="6" t="s">
        <v>160</v>
      </c>
      <c r="E80" s="4" t="s">
        <v>125</v>
      </c>
      <c r="G80" s="4" t="s">
        <v>133</v>
      </c>
      <c r="K80" s="14" t="str">
        <f>IF(E80=$E$3,"",IF(J80=$J$21,"",IF(E80=$E$19,"",$Q$2&amp;":"&amp;$R$2)))</f>
        <v>IVA:19</v>
      </c>
      <c r="L80" t="str">
        <f>IF(K80="",IF(J80=$J$21,Q$3&amp;":"&amp;$R$3,""),$Q$3&amp;":"&amp;$R$3)</f>
        <v>RETE FUENTE:2,5</v>
      </c>
      <c r="M80" t="str">
        <f>IF(K80="","",IF(E80=$E$8,$Q$4&amp;":"&amp;$R$4,""))</f>
        <v/>
      </c>
      <c r="N80" t="str">
        <f>IF(D80="BOGOTA",$Q$5&amp;":"&amp;$R$5,"")</f>
        <v/>
      </c>
    </row>
    <row r="81" spans="1:14" x14ac:dyDescent="0.35">
      <c r="A81" s="1">
        <v>900750270</v>
      </c>
      <c r="B81" t="s">
        <v>83</v>
      </c>
      <c r="D81" s="6" t="s">
        <v>147</v>
      </c>
      <c r="E81" s="4" t="s">
        <v>125</v>
      </c>
      <c r="G81" s="4" t="s">
        <v>133</v>
      </c>
      <c r="K81" s="14" t="str">
        <f>IF(E81=$E$3,"",IF(J81=$J$21,"",IF(E81=$E$19,"",$Q$2&amp;":"&amp;$R$2)))</f>
        <v>IVA:19</v>
      </c>
      <c r="L81" t="str">
        <f>IF(K81="",IF(J81=$J$21,Q$3&amp;":"&amp;$R$3,""),$Q$3&amp;":"&amp;$R$3)</f>
        <v>RETE FUENTE:2,5</v>
      </c>
      <c r="M81" t="str">
        <f>IF(K81="","",IF(E81=$E$8,$Q$4&amp;":"&amp;$R$4,""))</f>
        <v/>
      </c>
      <c r="N81" t="str">
        <f>IF(D81="BOGOTA",$Q$5&amp;":"&amp;$R$5,"")</f>
        <v>ICA:1,104</v>
      </c>
    </row>
    <row r="82" spans="1:14" x14ac:dyDescent="0.35">
      <c r="A82" s="1">
        <v>444444522</v>
      </c>
      <c r="B82" t="s">
        <v>10</v>
      </c>
      <c r="D82" s="6" t="s">
        <v>169</v>
      </c>
      <c r="E82" s="4" t="s">
        <v>134</v>
      </c>
      <c r="I82" s="4" t="s">
        <v>133</v>
      </c>
      <c r="K82" s="14" t="str">
        <f>IF(E82=$E$3,"",IF(J82=$J$21,"",IF(E82=$E$19,"",$Q$2&amp;":"&amp;$R$2)))</f>
        <v/>
      </c>
      <c r="L82" t="str">
        <f>IF(K82="",IF(J82=$J$21,Q$3&amp;":"&amp;$R$3,""),$Q$3&amp;":"&amp;$R$3)</f>
        <v/>
      </c>
      <c r="M82" t="str">
        <f>IF(K82="","",IF(E82=$E$8,$Q$4&amp;":"&amp;$R$4,""))</f>
        <v/>
      </c>
      <c r="N82" t="str">
        <f>IF(D82="BOGOTA",$Q$5&amp;":"&amp;$R$5,"")</f>
        <v/>
      </c>
    </row>
    <row r="83" spans="1:14" x14ac:dyDescent="0.35">
      <c r="A83" s="1">
        <v>890104521</v>
      </c>
      <c r="B83" t="s">
        <v>54</v>
      </c>
      <c r="D83" s="6" t="s">
        <v>160</v>
      </c>
      <c r="E83" s="4" t="s">
        <v>124</v>
      </c>
      <c r="F83" s="4" t="s">
        <v>133</v>
      </c>
      <c r="J83" t="s">
        <v>133</v>
      </c>
      <c r="K83" s="14" t="str">
        <f>IF(E83=$E$3,"",IF(J83=$J$21,"",IF(E83=$E$19,"",$Q$2&amp;":"&amp;$R$2)))</f>
        <v/>
      </c>
      <c r="L83" t="str">
        <f>IF(K83="",IF(J83=$J$21,Q$3&amp;":"&amp;$R$3,""),$Q$3&amp;":"&amp;$R$3)</f>
        <v>RETE FUENTE:2,5</v>
      </c>
      <c r="M83" t="str">
        <f>IF(K83="","",IF(E83=$E$8,$Q$4&amp;":"&amp;$R$4,""))</f>
        <v/>
      </c>
      <c r="N83" t="str">
        <f>IF(D83="BOGOTA",$Q$5&amp;":"&amp;$R$5,"")</f>
        <v/>
      </c>
    </row>
    <row r="84" spans="1:14" x14ac:dyDescent="0.35">
      <c r="A84" s="1">
        <v>800063923</v>
      </c>
      <c r="B84" t="s">
        <v>24</v>
      </c>
      <c r="D84" s="6" t="s">
        <v>160</v>
      </c>
      <c r="E84" s="4" t="s">
        <v>125</v>
      </c>
      <c r="G84" s="4" t="s">
        <v>133</v>
      </c>
      <c r="K84" s="14" t="str">
        <f>IF(E84=$E$3,"",IF(J84=$J$21,"",IF(E84=$E$19,"",$Q$2&amp;":"&amp;$R$2)))</f>
        <v>IVA:19</v>
      </c>
      <c r="L84" t="str">
        <f>IF(K84="",IF(J84=$J$21,Q$3&amp;":"&amp;$R$3,""),$Q$3&amp;":"&amp;$R$3)</f>
        <v>RETE FUENTE:2,5</v>
      </c>
      <c r="M84" t="str">
        <f>IF(K84="","",IF(E84=$E$8,$Q$4&amp;":"&amp;$R$4,""))</f>
        <v/>
      </c>
      <c r="N84" t="str">
        <f>IF(D84="BOGOTA",$Q$5&amp;":"&amp;$R$5,"")</f>
        <v/>
      </c>
    </row>
    <row r="85" spans="1:14" x14ac:dyDescent="0.35">
      <c r="A85" s="1">
        <v>860010469</v>
      </c>
      <c r="B85" t="s">
        <v>47</v>
      </c>
      <c r="D85" s="6" t="s">
        <v>170</v>
      </c>
      <c r="E85" s="4" t="s">
        <v>125</v>
      </c>
      <c r="G85" s="4" t="s">
        <v>133</v>
      </c>
      <c r="K85" s="14" t="str">
        <f>IF(E85=$E$3,"",IF(J85=$J$21,"",IF(E85=$E$19,"",$Q$2&amp;":"&amp;$R$2)))</f>
        <v>IVA:19</v>
      </c>
      <c r="L85" t="str">
        <f>IF(K85="",IF(J85=$J$21,Q$3&amp;":"&amp;$R$3,""),$Q$3&amp;":"&amp;$R$3)</f>
        <v>RETE FUENTE:2,5</v>
      </c>
      <c r="M85" t="str">
        <f>IF(K85="","",IF(E85=$E$8,$Q$4&amp;":"&amp;$R$4,""))</f>
        <v/>
      </c>
      <c r="N85" t="str">
        <f>IF(D85="BOGOTA",$Q$5&amp;":"&amp;$R$5,"")</f>
        <v/>
      </c>
    </row>
    <row r="86" spans="1:14" x14ac:dyDescent="0.35">
      <c r="A86" s="1">
        <v>900411753</v>
      </c>
      <c r="B86" t="s">
        <v>76</v>
      </c>
      <c r="D86" s="6" t="s">
        <v>171</v>
      </c>
      <c r="E86" s="4" t="s">
        <v>125</v>
      </c>
      <c r="G86" s="4" t="s">
        <v>133</v>
      </c>
      <c r="K86" s="14" t="str">
        <f>IF(E86=$E$3,"",IF(J86=$J$21,"",IF(E86=$E$19,"",$Q$2&amp;":"&amp;$R$2)))</f>
        <v>IVA:19</v>
      </c>
      <c r="L86" t="str">
        <f>IF(K86="",IF(J86=$J$21,Q$3&amp;":"&amp;$R$3,""),$Q$3&amp;":"&amp;$R$3)</f>
        <v>RETE FUENTE:2,5</v>
      </c>
      <c r="M86" t="str">
        <f>IF(K86="","",IF(E86=$E$8,$Q$4&amp;":"&amp;$R$4,""))</f>
        <v/>
      </c>
      <c r="N86" t="str">
        <f>IF(D86="BOGOTA",$Q$5&amp;":"&amp;$R$5,"")</f>
        <v/>
      </c>
    </row>
    <row r="87" spans="1:14" x14ac:dyDescent="0.35">
      <c r="A87" s="1">
        <v>901248821</v>
      </c>
      <c r="B87" t="s">
        <v>101</v>
      </c>
      <c r="D87" s="6" t="s">
        <v>130</v>
      </c>
      <c r="E87" s="4" t="s">
        <v>125</v>
      </c>
      <c r="G87" s="4" t="s">
        <v>133</v>
      </c>
      <c r="K87" s="14" t="str">
        <f>IF(E87=$E$3,"",IF(J87=$J$21,"",IF(E87=$E$19,"",$Q$2&amp;":"&amp;$R$2)))</f>
        <v>IVA:19</v>
      </c>
      <c r="L87" t="str">
        <f>IF(K87="",IF(J87=$J$21,Q$3&amp;":"&amp;$R$3,""),$Q$3&amp;":"&amp;$R$3)</f>
        <v>RETE FUENTE:2,5</v>
      </c>
      <c r="M87" t="str">
        <f>IF(K87="","",IF(E87=$E$8,$Q$4&amp;":"&amp;$R$4,""))</f>
        <v/>
      </c>
      <c r="N87" t="str">
        <f>IF(D87="BOGOTA",$Q$5&amp;":"&amp;$R$5,"")</f>
        <v/>
      </c>
    </row>
    <row r="88" spans="1:14" x14ac:dyDescent="0.35">
      <c r="A88" s="1">
        <v>900962554</v>
      </c>
      <c r="B88" t="s">
        <v>92</v>
      </c>
      <c r="D88" s="6" t="s">
        <v>172</v>
      </c>
      <c r="E88" s="4" t="s">
        <v>125</v>
      </c>
      <c r="G88" s="4" t="s">
        <v>133</v>
      </c>
      <c r="K88" s="14" t="str">
        <f>IF(E88=$E$3,"",IF(J88=$J$21,"",IF(E88=$E$19,"",$Q$2&amp;":"&amp;$R$2)))</f>
        <v>IVA:19</v>
      </c>
      <c r="L88" t="str">
        <f>IF(K88="",IF(J88=$J$21,Q$3&amp;":"&amp;$R$3,""),$Q$3&amp;":"&amp;$R$3)</f>
        <v>RETE FUENTE:2,5</v>
      </c>
      <c r="M88" t="str">
        <f>IF(K88="","",IF(E88=$E$8,$Q$4&amp;":"&amp;$R$4,""))</f>
        <v/>
      </c>
      <c r="N88" t="str">
        <f>IF(D88="BOGOTA",$Q$5&amp;":"&amp;$R$5,"")</f>
        <v/>
      </c>
    </row>
    <row r="89" spans="1:14" x14ac:dyDescent="0.35">
      <c r="A89" s="1">
        <v>815001004</v>
      </c>
      <c r="B89" t="s">
        <v>34</v>
      </c>
      <c r="D89" s="6" t="s">
        <v>147</v>
      </c>
      <c r="E89" s="4" t="s">
        <v>125</v>
      </c>
      <c r="G89" s="4" t="s">
        <v>133</v>
      </c>
      <c r="K89" s="14" t="str">
        <f>IF(E89=$E$3,"",IF(J89=$J$21,"",IF(E89=$E$19,"",$Q$2&amp;":"&amp;$R$2)))</f>
        <v>IVA:19</v>
      </c>
      <c r="L89" t="str">
        <f>IF(K89="",IF(J89=$J$21,Q$3&amp;":"&amp;$R$3,""),$Q$3&amp;":"&amp;$R$3)</f>
        <v>RETE FUENTE:2,5</v>
      </c>
      <c r="M89" t="str">
        <f>IF(K89="","",IF(E89=$E$8,$Q$4&amp;":"&amp;$R$4,""))</f>
        <v/>
      </c>
      <c r="N89" t="str">
        <f>IF(D89="BOGOTA",$Q$5&amp;":"&amp;$R$5,"")</f>
        <v>ICA:1,104</v>
      </c>
    </row>
    <row r="90" spans="1:14" ht="17" customHeight="1" x14ac:dyDescent="0.35">
      <c r="A90" s="1">
        <v>80410688</v>
      </c>
      <c r="B90" t="s">
        <v>7</v>
      </c>
      <c r="C90" s="4" t="s">
        <v>186</v>
      </c>
      <c r="D90" s="6" t="s">
        <v>147</v>
      </c>
      <c r="E90" s="4" t="s">
        <v>126</v>
      </c>
      <c r="H90" s="4" t="s">
        <v>133</v>
      </c>
      <c r="K90" s="14" t="str">
        <f>IF(E90=$E$3,"",IF(J90=$J$21,"",IF(E90=$E$19,"",$Q$2&amp;":"&amp;$R$2)))</f>
        <v/>
      </c>
      <c r="L90" t="str">
        <f>IF(K90="",IF(J90=$J$21,Q$3&amp;":"&amp;$R$3,""),$Q$3&amp;":"&amp;$R$3)</f>
        <v/>
      </c>
      <c r="M90" t="str">
        <f>IF(K90="","",IF(E90=$E$8,$Q$4&amp;":"&amp;$R$4,""))</f>
        <v/>
      </c>
      <c r="N90" t="str">
        <f>IF(D90="BOGOTA",$Q$5&amp;":"&amp;$R$5,"")</f>
        <v>ICA:1,104</v>
      </c>
    </row>
    <row r="91" spans="1:14" s="8" customFormat="1" x14ac:dyDescent="0.35">
      <c r="A91" s="1">
        <v>72295697</v>
      </c>
      <c r="B91" t="s">
        <v>3</v>
      </c>
      <c r="C91" s="4" t="s">
        <v>186</v>
      </c>
      <c r="D91" s="6" t="s">
        <v>160</v>
      </c>
      <c r="E91" s="4" t="s">
        <v>126</v>
      </c>
      <c r="F91" s="4"/>
      <c r="G91" s="4"/>
      <c r="H91" s="4" t="s">
        <v>133</v>
      </c>
      <c r="I91" s="4"/>
      <c r="J91"/>
      <c r="K91" s="14" t="str">
        <f>IF(E91=$E$3,"",IF(J91=$J$21,"",IF(E91=$E$19,"",$Q$2&amp;":"&amp;$R$2)))</f>
        <v/>
      </c>
      <c r="L91" t="str">
        <f>IF(K91="",IF(J91=$J$21,Q$3&amp;":"&amp;$R$3,""),$Q$3&amp;":"&amp;$R$3)</f>
        <v/>
      </c>
      <c r="M91" t="str">
        <f>IF(K91="","",IF(E91=$E$8,$Q$4&amp;":"&amp;$R$4,""))</f>
        <v/>
      </c>
      <c r="N91" t="str">
        <f>IF(D91="BOGOTA",$Q$5&amp;":"&amp;$R$5,"")</f>
        <v/>
      </c>
    </row>
    <row r="92" spans="1:14" x14ac:dyDescent="0.35">
      <c r="A92" s="1">
        <v>900564535</v>
      </c>
      <c r="B92" t="s">
        <v>81</v>
      </c>
      <c r="C92" s="4" t="s">
        <v>186</v>
      </c>
      <c r="D92" s="6" t="s">
        <v>173</v>
      </c>
      <c r="E92" s="4" t="s">
        <v>125</v>
      </c>
      <c r="G92" s="4" t="s">
        <v>133</v>
      </c>
      <c r="K92" s="14" t="str">
        <f>IF(E92=$E$3,"",IF(J92=$J$21,"",IF(E92=$E$19,"",$Q$2&amp;":"&amp;$R$2)))</f>
        <v>IVA:19</v>
      </c>
      <c r="L92" t="str">
        <f>IF(K92="",IF(J92=$J$21,Q$3&amp;":"&amp;$R$3,""),$Q$3&amp;":"&amp;$R$3)</f>
        <v>RETE FUENTE:2,5</v>
      </c>
      <c r="M92" t="str">
        <f>IF(K92="","",IF(E92=$E$8,$Q$4&amp;":"&amp;$R$4,""))</f>
        <v/>
      </c>
      <c r="N92" t="str">
        <f>IF(D92="BOGOTA",$Q$5&amp;":"&amp;$R$5,"")</f>
        <v/>
      </c>
    </row>
    <row r="93" spans="1:14" x14ac:dyDescent="0.35">
      <c r="A93" s="1">
        <v>890903436</v>
      </c>
      <c r="B93" t="s">
        <v>55</v>
      </c>
      <c r="D93" s="6" t="s">
        <v>144</v>
      </c>
      <c r="E93" s="4" t="s">
        <v>124</v>
      </c>
      <c r="F93" s="4" t="s">
        <v>133</v>
      </c>
      <c r="K93" s="14" t="str">
        <f>IF(E93=$E$3,"",IF(J93=$J$21,"",IF(E93=$E$19,"",$Q$2&amp;":"&amp;$R$2)))</f>
        <v>IVA:19</v>
      </c>
      <c r="L93" t="str">
        <f>IF(K93="",IF(J93=$J$21,Q$3&amp;":"&amp;$R$3,""),$Q$3&amp;":"&amp;$R$3)</f>
        <v>RETE FUENTE:2,5</v>
      </c>
      <c r="M93" t="str">
        <f>IF(K93="","",IF(E93=$E$8,$Q$4&amp;":"&amp;$R$4,""))</f>
        <v>RETE IVA:2,85</v>
      </c>
      <c r="N93" t="str">
        <f>IF(D93="BOGOTA",$Q$5&amp;":"&amp;$R$5,"")</f>
        <v/>
      </c>
    </row>
    <row r="94" spans="1:14" x14ac:dyDescent="0.35">
      <c r="A94" s="1">
        <v>800207932</v>
      </c>
      <c r="B94" t="s">
        <v>29</v>
      </c>
      <c r="D94" s="6" t="s">
        <v>171</v>
      </c>
      <c r="E94" s="4" t="s">
        <v>125</v>
      </c>
      <c r="G94" s="4" t="s">
        <v>133</v>
      </c>
      <c r="K94" s="14" t="str">
        <f>IF(E94=$E$3,"",IF(J94=$J$21,"",IF(E94=$E$19,"",$Q$2&amp;":"&amp;$R$2)))</f>
        <v>IVA:19</v>
      </c>
      <c r="L94" t="str">
        <f>IF(K94="",IF(J94=$J$21,Q$3&amp;":"&amp;$R$3,""),$Q$3&amp;":"&amp;$R$3)</f>
        <v>RETE FUENTE:2,5</v>
      </c>
      <c r="M94" t="str">
        <f>IF(K94="","",IF(E94=$E$8,$Q$4&amp;":"&amp;$R$4,""))</f>
        <v/>
      </c>
      <c r="N94" t="str">
        <f>IF(D94="BOGOTA",$Q$5&amp;":"&amp;$R$5,"")</f>
        <v/>
      </c>
    </row>
    <row r="95" spans="1:14" s="8" customFormat="1" x14ac:dyDescent="0.35">
      <c r="A95" s="1">
        <v>901260145</v>
      </c>
      <c r="B95" t="s">
        <v>103</v>
      </c>
      <c r="C95" s="4" t="s">
        <v>186</v>
      </c>
      <c r="D95" s="6" t="s">
        <v>174</v>
      </c>
      <c r="E95" s="4" t="s">
        <v>125</v>
      </c>
      <c r="F95" s="4"/>
      <c r="G95" s="4" t="s">
        <v>133</v>
      </c>
      <c r="H95" s="4"/>
      <c r="I95" s="4"/>
      <c r="J95"/>
      <c r="K95" s="14" t="str">
        <f>IF(E95=$E$3,"",IF(J95=$J$21,"",IF(E95=$E$19,"",$Q$2&amp;":"&amp;$R$2)))</f>
        <v>IVA:19</v>
      </c>
      <c r="L95" t="str">
        <f>IF(K95="",IF(J95=$J$21,Q$3&amp;":"&amp;$R$3,""),$Q$3&amp;":"&amp;$R$3)</f>
        <v>RETE FUENTE:2,5</v>
      </c>
      <c r="M95" t="str">
        <f>IF(K95="","",IF(E95=$E$8,$Q$4&amp;":"&amp;$R$4,""))</f>
        <v/>
      </c>
      <c r="N95" t="str">
        <f>IF(D95="BOGOTA",$Q$5&amp;":"&amp;$R$5,"")</f>
        <v/>
      </c>
    </row>
    <row r="96" spans="1:14" x14ac:dyDescent="0.35">
      <c r="A96" s="1">
        <v>802020905</v>
      </c>
      <c r="B96" t="s">
        <v>32</v>
      </c>
      <c r="D96" s="6" t="s">
        <v>160</v>
      </c>
      <c r="E96" s="4" t="s">
        <v>125</v>
      </c>
      <c r="G96" s="4" t="s">
        <v>133</v>
      </c>
      <c r="K96" s="14" t="str">
        <f>IF(E96=$E$3,"",IF(J96=$J$21,"",IF(E96=$E$19,"",$Q$2&amp;":"&amp;$R$2)))</f>
        <v>IVA:19</v>
      </c>
      <c r="L96" t="str">
        <f>IF(K96="",IF(J96=$J$21,Q$3&amp;":"&amp;$R$3,""),$Q$3&amp;":"&amp;$R$3)</f>
        <v>RETE FUENTE:2,5</v>
      </c>
      <c r="M96" t="str">
        <f>IF(K96="","",IF(E96=$E$8,$Q$4&amp;":"&amp;$R$4,""))</f>
        <v/>
      </c>
      <c r="N96" t="str">
        <f>IF(D96="BOGOTA",$Q$5&amp;":"&amp;$R$5,"")</f>
        <v/>
      </c>
    </row>
    <row r="97" spans="1:14" x14ac:dyDescent="0.35">
      <c r="A97" s="1">
        <v>900774339</v>
      </c>
      <c r="B97" t="s">
        <v>84</v>
      </c>
      <c r="D97" s="6" t="s">
        <v>147</v>
      </c>
      <c r="E97" s="4" t="s">
        <v>125</v>
      </c>
      <c r="G97" s="4" t="s">
        <v>133</v>
      </c>
      <c r="K97" s="14" t="str">
        <f>IF(E97=$E$3,"",IF(J97=$J$21,"",IF(E97=$E$19,"",$Q$2&amp;":"&amp;$R$2)))</f>
        <v>IVA:19</v>
      </c>
      <c r="L97" t="str">
        <f>IF(K97="",IF(J97=$J$21,Q$3&amp;":"&amp;$R$3,""),$Q$3&amp;":"&amp;$R$3)</f>
        <v>RETE FUENTE:2,5</v>
      </c>
      <c r="M97" t="str">
        <f>IF(K97="","",IF(E97=$E$8,$Q$4&amp;":"&amp;$R$4,""))</f>
        <v/>
      </c>
      <c r="N97" t="str">
        <f>IF(D97="BOGOTA",$Q$5&amp;":"&amp;$R$5,"")</f>
        <v>ICA:1,104</v>
      </c>
    </row>
    <row r="98" spans="1:14" x14ac:dyDescent="0.35">
      <c r="A98" s="1">
        <v>444444599</v>
      </c>
      <c r="B98" t="s">
        <v>20</v>
      </c>
      <c r="D98" s="6" t="s">
        <v>129</v>
      </c>
      <c r="E98" s="4" t="s">
        <v>134</v>
      </c>
      <c r="I98" s="4" t="s">
        <v>133</v>
      </c>
      <c r="K98" s="14" t="str">
        <f>IF(E98=$E$3,"",IF(J98=$J$21,"",IF(E98=$E$19,"",$Q$2&amp;":"&amp;$R$2)))</f>
        <v/>
      </c>
      <c r="L98" t="str">
        <f>IF(K98="",IF(J98=$J$21,Q$3&amp;":"&amp;$R$3,""),$Q$3&amp;":"&amp;$R$3)</f>
        <v/>
      </c>
      <c r="M98" t="str">
        <f>IF(K98="","",IF(E98=$E$8,$Q$4&amp;":"&amp;$R$4,""))</f>
        <v/>
      </c>
      <c r="N98" t="str">
        <f>IF(D98="BOGOTA",$Q$5&amp;":"&amp;$R$5,"")</f>
        <v/>
      </c>
    </row>
    <row r="99" spans="1:14" x14ac:dyDescent="0.35">
      <c r="A99" s="1">
        <v>900265795</v>
      </c>
      <c r="B99" t="s">
        <v>68</v>
      </c>
      <c r="D99" s="6" t="s">
        <v>147</v>
      </c>
      <c r="E99" s="4" t="s">
        <v>125</v>
      </c>
      <c r="G99" s="4" t="s">
        <v>133</v>
      </c>
      <c r="K99" s="14" t="str">
        <f>IF(E99=$E$3,"",IF(J99=$J$21,"",IF(E99=$E$19,"",$Q$2&amp;":"&amp;$R$2)))</f>
        <v>IVA:19</v>
      </c>
      <c r="L99" t="str">
        <f>IF(K99="",IF(J99=$J$21,Q$3&amp;":"&amp;$R$3,""),$Q$3&amp;":"&amp;$R$3)</f>
        <v>RETE FUENTE:2,5</v>
      </c>
      <c r="M99" t="str">
        <f>IF(K99="","",IF(E99=$E$8,$Q$4&amp;":"&amp;$R$4,""))</f>
        <v/>
      </c>
      <c r="N99" t="str">
        <f>IF(D99="BOGOTA",$Q$5&amp;":"&amp;$R$5,"")</f>
        <v>ICA:1,104</v>
      </c>
    </row>
    <row r="100" spans="1:14" x14ac:dyDescent="0.35">
      <c r="A100" s="1">
        <v>811012461</v>
      </c>
      <c r="B100" t="s">
        <v>33</v>
      </c>
      <c r="C100" s="4" t="s">
        <v>186</v>
      </c>
      <c r="D100" s="6" t="s">
        <v>156</v>
      </c>
      <c r="E100" s="4" t="s">
        <v>125</v>
      </c>
      <c r="G100" s="4" t="s">
        <v>133</v>
      </c>
      <c r="K100" s="14" t="str">
        <f>IF(E100=$E$3,"",IF(J100=$J$21,"",IF(E100=$E$19,"",$Q$2&amp;":"&amp;$R$2)))</f>
        <v>IVA:19</v>
      </c>
      <c r="L100" t="str">
        <f>IF(K100="",IF(J100=$J$21,Q$3&amp;":"&amp;$R$3,""),$Q$3&amp;":"&amp;$R$3)</f>
        <v>RETE FUENTE:2,5</v>
      </c>
      <c r="M100" t="str">
        <f>IF(K100="","",IF(E100=$E$8,$Q$4&amp;":"&amp;$R$4,""))</f>
        <v/>
      </c>
      <c r="N100" t="str">
        <f>IF(D100="BOGOTA",$Q$5&amp;":"&amp;$R$5,"")</f>
        <v/>
      </c>
    </row>
    <row r="101" spans="1:14" x14ac:dyDescent="0.35">
      <c r="A101" s="1">
        <v>800171809</v>
      </c>
      <c r="B101" t="s">
        <v>26</v>
      </c>
      <c r="D101" s="6" t="s">
        <v>163</v>
      </c>
      <c r="E101" s="4" t="s">
        <v>125</v>
      </c>
      <c r="G101" s="4" t="s">
        <v>133</v>
      </c>
      <c r="K101" s="14" t="str">
        <f>IF(E101=$E$3,"",IF(J101=$J$21,"",IF(E101=$E$19,"",$Q$2&amp;":"&amp;$R$2)))</f>
        <v>IVA:19</v>
      </c>
      <c r="L101" t="str">
        <f>IF(K101="",IF(J101=$J$21,Q$3&amp;":"&amp;$R$3,""),$Q$3&amp;":"&amp;$R$3)</f>
        <v>RETE FUENTE:2,5</v>
      </c>
      <c r="M101" t="str">
        <f>IF(K101="","",IF(E101=$E$8,$Q$4&amp;":"&amp;$R$4,""))</f>
        <v/>
      </c>
      <c r="N101" t="str">
        <f>IF(D101="BOGOTA",$Q$5&amp;":"&amp;$R$5,"")</f>
        <v/>
      </c>
    </row>
    <row r="102" spans="1:14" x14ac:dyDescent="0.35">
      <c r="A102" s="1">
        <v>444444461</v>
      </c>
      <c r="B102" t="s">
        <v>8</v>
      </c>
      <c r="D102" s="6" t="s">
        <v>175</v>
      </c>
      <c r="E102" s="4" t="s">
        <v>134</v>
      </c>
      <c r="I102" s="4" t="s">
        <v>133</v>
      </c>
      <c r="K102" s="14" t="str">
        <f>IF(E102=$E$3,"",IF(J102=$J$21,"",IF(E102=$E$19,"",$Q$2&amp;":"&amp;$R$2)))</f>
        <v/>
      </c>
      <c r="L102" t="str">
        <f>IF(K102="",IF(J102=$J$21,Q$3&amp;":"&amp;$R$3,""),$Q$3&amp;":"&amp;$R$3)</f>
        <v/>
      </c>
      <c r="M102" t="str">
        <f>IF(K102="","",IF(E102=$E$8,$Q$4&amp;":"&amp;$R$4,""))</f>
        <v/>
      </c>
      <c r="N102" t="str">
        <f>IF(D102="BOGOTA",$Q$5&amp;":"&amp;$R$5,"")</f>
        <v/>
      </c>
    </row>
    <row r="103" spans="1:14" x14ac:dyDescent="0.35">
      <c r="A103" s="1">
        <v>830054444</v>
      </c>
      <c r="B103" t="s">
        <v>38</v>
      </c>
      <c r="D103" s="6" t="s">
        <v>156</v>
      </c>
      <c r="E103" s="4" t="s">
        <v>125</v>
      </c>
      <c r="G103" s="4" t="s">
        <v>133</v>
      </c>
      <c r="K103" s="14" t="str">
        <f>IF(E103=$E$3,"",IF(J103=$J$21,"",IF(E103=$E$19,"",$Q$2&amp;":"&amp;$R$2)))</f>
        <v>IVA:19</v>
      </c>
      <c r="L103" t="str">
        <f>IF(K103="",IF(J103=$J$21,Q$3&amp;":"&amp;$R$3,""),$Q$3&amp;":"&amp;$R$3)</f>
        <v>RETE FUENTE:2,5</v>
      </c>
      <c r="M103" t="str">
        <f>IF(K103="","",IF(E103=$E$8,$Q$4&amp;":"&amp;$R$4,""))</f>
        <v/>
      </c>
      <c r="N103" t="str">
        <f>IF(D103="BOGOTA",$Q$5&amp;":"&amp;$R$5,"")</f>
        <v/>
      </c>
    </row>
    <row r="104" spans="1:14" x14ac:dyDescent="0.35">
      <c r="A104" s="1">
        <v>800034353</v>
      </c>
      <c r="B104" t="s">
        <v>22</v>
      </c>
      <c r="D104" s="6" t="s">
        <v>150</v>
      </c>
      <c r="E104" s="4" t="s">
        <v>125</v>
      </c>
      <c r="G104" s="4" t="s">
        <v>133</v>
      </c>
      <c r="K104" s="14" t="str">
        <f>IF(E104=$E$3,"",IF(J104=$J$21,"",IF(E104=$E$19,"",$Q$2&amp;":"&amp;$R$2)))</f>
        <v>IVA:19</v>
      </c>
      <c r="L104" t="str">
        <f>IF(K104="",IF(J104=$J$21,Q$3&amp;":"&amp;$R$3,""),$Q$3&amp;":"&amp;$R$3)</f>
        <v>RETE FUENTE:2,5</v>
      </c>
      <c r="M104" t="str">
        <f>IF(K104="","",IF(E104=$E$8,$Q$4&amp;":"&amp;$R$4,""))</f>
        <v/>
      </c>
      <c r="N104" t="str">
        <f>IF(D104="BOGOTA",$Q$5&amp;":"&amp;$R$5,"")</f>
        <v/>
      </c>
    </row>
    <row r="105" spans="1:14" x14ac:dyDescent="0.35">
      <c r="A105" s="1">
        <v>900802928</v>
      </c>
      <c r="B105" t="s">
        <v>86</v>
      </c>
      <c r="D105" s="6" t="s">
        <v>176</v>
      </c>
      <c r="E105" s="4" t="s">
        <v>125</v>
      </c>
      <c r="G105" s="4" t="s">
        <v>133</v>
      </c>
      <c r="K105" s="14" t="str">
        <f>IF(E105=$E$3,"",IF(J105=$J$21,"",IF(E105=$E$19,"",$Q$2&amp;":"&amp;$R$2)))</f>
        <v>IVA:19</v>
      </c>
      <c r="L105" t="str">
        <f>IF(K105="",IF(J105=$J$21,Q$3&amp;":"&amp;$R$3,""),$Q$3&amp;":"&amp;$R$3)</f>
        <v>RETE FUENTE:2,5</v>
      </c>
      <c r="M105" t="str">
        <f>IF(K105="","",IF(E105=$E$8,$Q$4&amp;":"&amp;$R$4,""))</f>
        <v/>
      </c>
      <c r="N105" t="str">
        <f>IF(D105="BOGOTA",$Q$5&amp;":"&amp;$R$5,"")</f>
        <v/>
      </c>
    </row>
    <row r="106" spans="1:14" x14ac:dyDescent="0.35">
      <c r="A106" s="1">
        <v>830069726</v>
      </c>
      <c r="B106" t="s">
        <v>40</v>
      </c>
      <c r="D106" s="6" t="s">
        <v>147</v>
      </c>
      <c r="E106" s="4" t="s">
        <v>125</v>
      </c>
      <c r="G106" s="4" t="s">
        <v>133</v>
      </c>
      <c r="K106" s="14" t="str">
        <f>IF(E106=$E$3,"",IF(J106=$J$21,"",IF(E106=$E$19,"",$Q$2&amp;":"&amp;$R$2)))</f>
        <v>IVA:19</v>
      </c>
      <c r="L106" t="str">
        <f>IF(K106="",IF(J106=$J$21,Q$3&amp;":"&amp;$R$3,""),$Q$3&amp;":"&amp;$R$3)</f>
        <v>RETE FUENTE:2,5</v>
      </c>
      <c r="M106" t="str">
        <f>IF(K106="","",IF(E106=$E$8,$Q$4&amp;":"&amp;$R$4,""))</f>
        <v/>
      </c>
      <c r="N106" t="str">
        <f>IF(D106="BOGOTA",$Q$5&amp;":"&amp;$R$5,"")</f>
        <v>ICA:1,104</v>
      </c>
    </row>
    <row r="107" spans="1:14" x14ac:dyDescent="0.35">
      <c r="A107" s="1">
        <v>1005259355</v>
      </c>
      <c r="B107" t="s">
        <v>118</v>
      </c>
      <c r="C107" s="4" t="s">
        <v>186</v>
      </c>
      <c r="D107" s="6" t="s">
        <v>146</v>
      </c>
      <c r="E107" s="4" t="s">
        <v>126</v>
      </c>
      <c r="H107" s="4" t="s">
        <v>133</v>
      </c>
      <c r="K107" s="14" t="str">
        <f>IF(E107=$E$3,"",IF(J107=$J$21,"",IF(E107=$E$19,"",$Q$2&amp;":"&amp;$R$2)))</f>
        <v/>
      </c>
      <c r="L107" t="str">
        <f>IF(K107="",IF(J107=$J$21,Q$3&amp;":"&amp;$R$3,""),$Q$3&amp;":"&amp;$R$3)</f>
        <v/>
      </c>
      <c r="M107" t="str">
        <f>IF(K107="","",IF(E107=$E$8,$Q$4&amp;":"&amp;$R$4,""))</f>
        <v/>
      </c>
      <c r="N107" t="str">
        <f>IF(D107="BOGOTA",$Q$5&amp;":"&amp;$R$5,"")</f>
        <v/>
      </c>
    </row>
    <row r="108" spans="1:14" x14ac:dyDescent="0.35">
      <c r="A108" s="1">
        <v>830506179</v>
      </c>
      <c r="B108" t="s">
        <v>43</v>
      </c>
      <c r="D108" s="6" t="s">
        <v>176</v>
      </c>
      <c r="E108" s="4" t="s">
        <v>125</v>
      </c>
      <c r="G108" s="4" t="s">
        <v>133</v>
      </c>
      <c r="K108" s="14" t="str">
        <f>IF(E108=$E$3,"",IF(J108=$J$21,"",IF(E108=$E$19,"",$Q$2&amp;":"&amp;$R$2)))</f>
        <v>IVA:19</v>
      </c>
      <c r="L108" t="str">
        <f>IF(K108="",IF(J108=$J$21,Q$3&amp;":"&amp;$R$3,""),$Q$3&amp;":"&amp;$R$3)</f>
        <v>RETE FUENTE:2,5</v>
      </c>
      <c r="M108" t="str">
        <f>IF(K108="","",IF(E108=$E$8,$Q$4&amp;":"&amp;$R$4,""))</f>
        <v/>
      </c>
      <c r="N108" t="str">
        <f>IF(D108="BOGOTA",$Q$5&amp;":"&amp;$R$5,"")</f>
        <v/>
      </c>
    </row>
    <row r="109" spans="1:14" x14ac:dyDescent="0.35">
      <c r="A109" s="1">
        <v>830500365</v>
      </c>
      <c r="B109" t="s">
        <v>42</v>
      </c>
      <c r="D109" s="6" t="s">
        <v>144</v>
      </c>
      <c r="E109" s="4" t="s">
        <v>125</v>
      </c>
      <c r="G109" s="4" t="s">
        <v>133</v>
      </c>
      <c r="K109" s="14" t="str">
        <f>IF(E109=$E$3,"",IF(J109=$J$21,"",IF(E109=$E$19,"",$Q$2&amp;":"&amp;$R$2)))</f>
        <v>IVA:19</v>
      </c>
      <c r="L109" t="str">
        <f>IF(K109="",IF(J109=$J$21,Q$3&amp;":"&amp;$R$3,""),$Q$3&amp;":"&amp;$R$3)</f>
        <v>RETE FUENTE:2,5</v>
      </c>
      <c r="M109" t="str">
        <f>IF(K109="","",IF(E109=$E$8,$Q$4&amp;":"&amp;$R$4,""))</f>
        <v/>
      </c>
      <c r="N109" t="str">
        <f>IF(D109="BOGOTA",$Q$5&amp;":"&amp;$R$5,"")</f>
        <v/>
      </c>
    </row>
    <row r="110" spans="1:14" x14ac:dyDescent="0.35">
      <c r="A110" s="1">
        <v>901268990</v>
      </c>
      <c r="B110" t="s">
        <v>104</v>
      </c>
      <c r="D110" s="6" t="s">
        <v>146</v>
      </c>
      <c r="E110" s="4" t="s">
        <v>125</v>
      </c>
      <c r="G110" s="4" t="s">
        <v>133</v>
      </c>
      <c r="K110" s="14" t="str">
        <f>IF(E110=$E$3,"",IF(J110=$J$21,"",IF(E110=$E$19,"",$Q$2&amp;":"&amp;$R$2)))</f>
        <v>IVA:19</v>
      </c>
      <c r="L110" t="str">
        <f>IF(K110="",IF(J110=$J$21,Q$3&amp;":"&amp;$R$3,""),$Q$3&amp;":"&amp;$R$3)</f>
        <v>RETE FUENTE:2,5</v>
      </c>
      <c r="M110" t="str">
        <f>IF(K110="","",IF(E110=$E$8,$Q$4&amp;":"&amp;$R$4,""))</f>
        <v/>
      </c>
      <c r="N110" t="str">
        <f>IF(D110="BOGOTA",$Q$5&amp;":"&amp;$R$5,"")</f>
        <v/>
      </c>
    </row>
    <row r="111" spans="1:14" x14ac:dyDescent="0.35">
      <c r="A111" s="1">
        <v>901209350</v>
      </c>
      <c r="B111" t="s">
        <v>99</v>
      </c>
      <c r="D111" s="6" t="s">
        <v>147</v>
      </c>
      <c r="E111" s="4" t="s">
        <v>125</v>
      </c>
      <c r="G111" s="4" t="s">
        <v>133</v>
      </c>
      <c r="K111" s="14" t="str">
        <f>IF(E111=$E$3,"",IF(J111=$J$21,"",IF(E111=$E$19,"",$Q$2&amp;":"&amp;$R$2)))</f>
        <v>IVA:19</v>
      </c>
      <c r="L111" t="str">
        <f>IF(K111="",IF(J111=$J$21,Q$3&amp;":"&amp;$R$3,""),$Q$3&amp;":"&amp;$R$3)</f>
        <v>RETE FUENTE:2,5</v>
      </c>
      <c r="M111" t="str">
        <f>IF(K111="","",IF(E111=$E$8,$Q$4&amp;":"&amp;$R$4,""))</f>
        <v/>
      </c>
      <c r="N111" t="str">
        <f>IF(D111="BOGOTA",$Q$5&amp;":"&amp;$R$5,"")</f>
        <v>ICA:1,104</v>
      </c>
    </row>
    <row r="112" spans="1:14" x14ac:dyDescent="0.35">
      <c r="A112" s="1">
        <v>444444540</v>
      </c>
      <c r="B112" t="s">
        <v>13</v>
      </c>
      <c r="D112" s="6" t="s">
        <v>177</v>
      </c>
      <c r="E112" s="4" t="s">
        <v>134</v>
      </c>
      <c r="I112" s="4" t="s">
        <v>133</v>
      </c>
      <c r="K112" s="14" t="str">
        <f>IF(E112=$E$3,"",IF(J112=$J$21,"",IF(E112=$E$19,"",$Q$2&amp;":"&amp;$R$2)))</f>
        <v/>
      </c>
      <c r="L112" t="str">
        <f>IF(K112="",IF(J112=$J$21,Q$3&amp;":"&amp;$R$3,""),$Q$3&amp;":"&amp;$R$3)</f>
        <v/>
      </c>
      <c r="M112" t="str">
        <f>IF(K112="","",IF(E112=$E$8,$Q$4&amp;":"&amp;$R$4,""))</f>
        <v/>
      </c>
      <c r="N112" t="str">
        <f>IF(D112="BOGOTA",$Q$5&amp;":"&amp;$R$5,"")</f>
        <v/>
      </c>
    </row>
    <row r="113" spans="1:14" x14ac:dyDescent="0.35">
      <c r="A113" s="1">
        <v>900225474</v>
      </c>
      <c r="B113" t="s">
        <v>65</v>
      </c>
      <c r="D113" s="6" t="s">
        <v>170</v>
      </c>
      <c r="E113" s="4" t="s">
        <v>125</v>
      </c>
      <c r="G113" s="4" t="s">
        <v>133</v>
      </c>
      <c r="J113" t="s">
        <v>133</v>
      </c>
      <c r="K113" s="14" t="str">
        <f>IF(E113=$E$3,"",IF(J113=$J$21,"",IF(E113=$E$19,"",$Q$2&amp;":"&amp;$R$2)))</f>
        <v/>
      </c>
      <c r="L113" t="str">
        <f>IF(K113="",IF(J113=$J$21,Q$3&amp;":"&amp;$R$3,""),$Q$3&amp;":"&amp;$R$3)</f>
        <v>RETE FUENTE:2,5</v>
      </c>
      <c r="M113" t="str">
        <f>IF(K113="","",IF(E113=$E$8,$Q$4&amp;":"&amp;$R$4,""))</f>
        <v/>
      </c>
      <c r="N113" t="str">
        <f>IF(D113="BOGOTA",$Q$5&amp;":"&amp;$R$5,"")</f>
        <v/>
      </c>
    </row>
    <row r="114" spans="1:14" x14ac:dyDescent="0.35">
      <c r="A114" s="1">
        <v>900307659</v>
      </c>
      <c r="B114" t="s">
        <v>70</v>
      </c>
      <c r="D114" s="6" t="s">
        <v>147</v>
      </c>
      <c r="E114" s="4" t="s">
        <v>125</v>
      </c>
      <c r="G114" s="4" t="s">
        <v>133</v>
      </c>
      <c r="K114" s="14" t="str">
        <f>IF(E114=$E$3,"",IF(J114=$J$21,"",IF(E114=$E$19,"",$Q$2&amp;":"&amp;$R$2)))</f>
        <v>IVA:19</v>
      </c>
      <c r="L114" t="str">
        <f>IF(K114="",IF(J114=$J$21,Q$3&amp;":"&amp;$R$3,""),$Q$3&amp;":"&amp;$R$3)</f>
        <v>RETE FUENTE:2,5</v>
      </c>
      <c r="M114" t="str">
        <f>IF(K114="","",IF(E114=$E$8,$Q$4&amp;":"&amp;$R$4,""))</f>
        <v/>
      </c>
      <c r="N114" t="str">
        <f>IF(D114="BOGOTA",$Q$5&amp;":"&amp;$R$5,"")</f>
        <v>ICA:1,104</v>
      </c>
    </row>
    <row r="115" spans="1:14" x14ac:dyDescent="0.35">
      <c r="A115" s="1">
        <v>444444520</v>
      </c>
      <c r="B115" t="s">
        <v>9</v>
      </c>
      <c r="D115" s="6" t="s">
        <v>175</v>
      </c>
      <c r="E115" s="4" t="s">
        <v>134</v>
      </c>
      <c r="I115" s="4" t="s">
        <v>133</v>
      </c>
      <c r="K115" s="14" t="str">
        <f>IF(E115=$E$3,"",IF(J115=$J$21,"",IF(E115=$E$19,"",$Q$2&amp;":"&amp;$R$2)))</f>
        <v/>
      </c>
      <c r="L115" t="str">
        <f>IF(K115="",IF(J115=$J$21,Q$3&amp;":"&amp;$R$3,""),$Q$3&amp;":"&amp;$R$3)</f>
        <v/>
      </c>
      <c r="M115" t="str">
        <f>IF(K115="","",IF(E115=$E$8,$Q$4&amp;":"&amp;$R$4,""))</f>
        <v/>
      </c>
      <c r="N115" t="str">
        <f>IF(D115="BOGOTA",$Q$5&amp;":"&amp;$R$5,"")</f>
        <v/>
      </c>
    </row>
    <row r="116" spans="1:14" x14ac:dyDescent="0.35">
      <c r="A116" s="1">
        <v>800203984</v>
      </c>
      <c r="B116" t="s">
        <v>28</v>
      </c>
      <c r="D116" s="6" t="s">
        <v>147</v>
      </c>
      <c r="E116" s="4" t="s">
        <v>125</v>
      </c>
      <c r="G116" s="4" t="s">
        <v>133</v>
      </c>
      <c r="K116" s="14" t="str">
        <f>IF(E116=$E$3,"",IF(J116=$J$21,"",IF(E116=$E$19,"",$Q$2&amp;":"&amp;$R$2)))</f>
        <v>IVA:19</v>
      </c>
      <c r="L116" t="str">
        <f>IF(K116="",IF(J116=$J$21,Q$3&amp;":"&amp;$R$3,""),$Q$3&amp;":"&amp;$R$3)</f>
        <v>RETE FUENTE:2,5</v>
      </c>
      <c r="M116" t="str">
        <f>IF(K116="","",IF(E116=$E$8,$Q$4&amp;":"&amp;$R$4,""))</f>
        <v/>
      </c>
      <c r="N116" t="str">
        <f>IF(D116="BOGOTA",$Q$5&amp;":"&amp;$R$5,"")</f>
        <v>ICA:1,104</v>
      </c>
    </row>
    <row r="117" spans="1:14" x14ac:dyDescent="0.35">
      <c r="A117" s="1">
        <v>900414489</v>
      </c>
      <c r="B117" t="s">
        <v>77</v>
      </c>
      <c r="D117" s="6" t="s">
        <v>147</v>
      </c>
      <c r="E117" s="4" t="s">
        <v>125</v>
      </c>
      <c r="G117" s="4" t="s">
        <v>133</v>
      </c>
      <c r="K117" s="14" t="str">
        <f>IF(E117=$E$3,"",IF(J117=$J$21,"",IF(E117=$E$19,"",$Q$2&amp;":"&amp;$R$2)))</f>
        <v>IVA:19</v>
      </c>
      <c r="L117" t="str">
        <f>IF(K117="",IF(J117=$J$21,Q$3&amp;":"&amp;$R$3,""),$Q$3&amp;":"&amp;$R$3)</f>
        <v>RETE FUENTE:2,5</v>
      </c>
      <c r="M117" t="str">
        <f>IF(K117="","",IF(E117=$E$8,$Q$4&amp;":"&amp;$R$4,""))</f>
        <v/>
      </c>
      <c r="N117" t="str">
        <f>IF(D117="BOGOTA",$Q$5&amp;":"&amp;$R$5,"")</f>
        <v>ICA:1,104</v>
      </c>
    </row>
    <row r="118" spans="1:14" x14ac:dyDescent="0.35">
      <c r="A118" s="1">
        <v>890800718</v>
      </c>
      <c r="B118" t="s">
        <v>0</v>
      </c>
      <c r="D118" s="6" t="s">
        <v>178</v>
      </c>
      <c r="E118" s="4" t="s">
        <v>124</v>
      </c>
      <c r="F118" s="4" t="s">
        <v>133</v>
      </c>
      <c r="K118" s="14" t="str">
        <f>IF(E118=$E$3,"",IF(J118=$J$21,"",IF(E118=$E$19,"",$Q$2&amp;":"&amp;$R$2)))</f>
        <v>IVA:19</v>
      </c>
      <c r="L118" t="str">
        <f>IF(K118="",IF(J118=$J$21,Q$3&amp;":"&amp;$R$3,""),$Q$3&amp;":"&amp;$R$3)</f>
        <v>RETE FUENTE:2,5</v>
      </c>
      <c r="M118" t="str">
        <f>IF(K118="","",IF(E118=$E$8,$Q$4&amp;":"&amp;$R$4,""))</f>
        <v>RETE IVA:2,85</v>
      </c>
      <c r="N118" t="str">
        <f>IF(D118="BOGOTA",$Q$5&amp;":"&amp;$R$5,"")</f>
        <v/>
      </c>
    </row>
    <row r="119" spans="1:14" x14ac:dyDescent="0.35">
      <c r="A119" s="1">
        <v>444444557</v>
      </c>
      <c r="B119" t="s">
        <v>14</v>
      </c>
      <c r="D119" s="6" t="s">
        <v>169</v>
      </c>
      <c r="E119" s="4" t="s">
        <v>134</v>
      </c>
      <c r="I119" s="4" t="s">
        <v>133</v>
      </c>
      <c r="K119" s="14" t="str">
        <f>IF(E119=$E$3,"",IF(J119=$J$21,"",IF(E119=$E$19,"",$Q$2&amp;":"&amp;$R$2)))</f>
        <v/>
      </c>
      <c r="L119" t="str">
        <f>IF(K119="",IF(J119=$J$21,Q$3&amp;":"&amp;$R$3,""),$Q$3&amp;":"&amp;$R$3)</f>
        <v/>
      </c>
      <c r="M119" t="str">
        <f>IF(K119="","",IF(E119=$E$8,$Q$4&amp;":"&amp;$R$4,""))</f>
        <v/>
      </c>
      <c r="N119" t="str">
        <f>IF(D119="BOGOTA",$Q$5&amp;":"&amp;$R$5,"")</f>
        <v/>
      </c>
    </row>
    <row r="120" spans="1:14" x14ac:dyDescent="0.35">
      <c r="A120" s="1">
        <v>900240333</v>
      </c>
      <c r="B120" t="s">
        <v>67</v>
      </c>
      <c r="D120" s="6" t="s">
        <v>147</v>
      </c>
      <c r="E120" s="4" t="s">
        <v>125</v>
      </c>
      <c r="G120" s="4" t="s">
        <v>133</v>
      </c>
      <c r="K120" s="14" t="str">
        <f>IF(E120=$E$3,"",IF(J120=$J$21,"",IF(E120=$E$19,"",$Q$2&amp;":"&amp;$R$2)))</f>
        <v>IVA:19</v>
      </c>
      <c r="L120" t="str">
        <f>IF(K120="",IF(J120=$J$21,Q$3&amp;":"&amp;$R$3,""),$Q$3&amp;":"&amp;$R$3)</f>
        <v>RETE FUENTE:2,5</v>
      </c>
      <c r="M120" t="str">
        <f>IF(K120="","",IF(E120=$E$8,$Q$4&amp;":"&amp;$R$4,""))</f>
        <v/>
      </c>
      <c r="N120" t="str">
        <f>IF(D120="BOGOTA",$Q$5&amp;":"&amp;$R$5,"")</f>
        <v>ICA:1,104</v>
      </c>
    </row>
    <row r="121" spans="1:14" x14ac:dyDescent="0.35">
      <c r="A121" s="1">
        <v>900337711</v>
      </c>
      <c r="B121" t="s">
        <v>72</v>
      </c>
      <c r="D121" s="6" t="s">
        <v>170</v>
      </c>
      <c r="E121" s="4" t="s">
        <v>125</v>
      </c>
      <c r="G121" s="4" t="s">
        <v>133</v>
      </c>
      <c r="K121" s="14" t="str">
        <f>IF(E121=$E$3,"",IF(J121=$J$21,"",IF(E121=$E$19,"",$Q$2&amp;":"&amp;$R$2)))</f>
        <v>IVA:19</v>
      </c>
      <c r="L121" t="str">
        <f>IF(K121="",IF(J121=$J$21,Q$3&amp;":"&amp;$R$3,""),$Q$3&amp;":"&amp;$R$3)</f>
        <v>RETE FUENTE:2,5</v>
      </c>
      <c r="M121" t="str">
        <f>IF(K121="","",IF(E121=$E$8,$Q$4&amp;":"&amp;$R$4,""))</f>
        <v/>
      </c>
      <c r="N121" t="str">
        <f>IF(D121="BOGOTA",$Q$5&amp;":"&amp;$R$5,"")</f>
        <v/>
      </c>
    </row>
    <row r="122" spans="1:14" x14ac:dyDescent="0.35">
      <c r="A122" s="1">
        <v>901088196</v>
      </c>
      <c r="B122" t="s">
        <v>96</v>
      </c>
      <c r="D122" s="6" t="s">
        <v>179</v>
      </c>
      <c r="E122" s="4" t="s">
        <v>125</v>
      </c>
      <c r="G122" s="4" t="s">
        <v>133</v>
      </c>
      <c r="J122" t="s">
        <v>133</v>
      </c>
      <c r="K122" s="14" t="str">
        <f>IF(E122=$E$3,"",IF(J122=$J$21,"",IF(E122=$E$19,"",$Q$2&amp;":"&amp;$R$2)))</f>
        <v/>
      </c>
      <c r="L122" t="str">
        <f>IF(K122="",IF(J122=$J$21,Q$3&amp;":"&amp;$R$3,""),$Q$3&amp;":"&amp;$R$3)</f>
        <v>RETE FUENTE:2,5</v>
      </c>
      <c r="M122" t="str">
        <f>IF(K122="","",IF(E122=$E$8,$Q$4&amp;":"&amp;$R$4,""))</f>
        <v/>
      </c>
      <c r="N122" t="str">
        <f>IF(D122="BOGOTA",$Q$5&amp;":"&amp;$R$5,"")</f>
        <v/>
      </c>
    </row>
    <row r="123" spans="1:14" x14ac:dyDescent="0.35">
      <c r="A123" s="1">
        <v>901253061</v>
      </c>
      <c r="B123" t="s">
        <v>102</v>
      </c>
      <c r="D123" s="6" t="s">
        <v>147</v>
      </c>
      <c r="E123" s="4" t="s">
        <v>125</v>
      </c>
      <c r="G123" s="4" t="s">
        <v>133</v>
      </c>
      <c r="K123" s="14" t="str">
        <f>IF(E123=$E$3,"",IF(J123=$J$21,"",IF(E123=$E$19,"",$Q$2&amp;":"&amp;$R$2)))</f>
        <v>IVA:19</v>
      </c>
      <c r="L123" t="str">
        <f>IF(K123="",IF(J123=$J$21,Q$3&amp;":"&amp;$R$3,""),$Q$3&amp;":"&amp;$R$3)</f>
        <v>RETE FUENTE:2,5</v>
      </c>
      <c r="M123" t="str">
        <f>IF(K123="","",IF(E123=$E$8,$Q$4&amp;":"&amp;$R$4,""))</f>
        <v/>
      </c>
      <c r="N123" t="str">
        <f>IF(D123="BOGOTA",$Q$5&amp;":"&amp;$R$5,"")</f>
        <v>ICA:1,104</v>
      </c>
    </row>
  </sheetData>
  <autoFilter ref="A1:J123" xr:uid="{33B2AB93-0CA9-4CE5-B501-A0B6ECF24C37}">
    <sortState xmlns:xlrd2="http://schemas.microsoft.com/office/spreadsheetml/2017/richdata2" ref="A2:J123">
      <sortCondition ref="B1:B123"/>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8E54F-E6A6-40FC-AB91-989CB7B7469B}">
  <dimension ref="A2:A10"/>
  <sheetViews>
    <sheetView workbookViewId="0">
      <selection activeCell="A3" sqref="A3:A8"/>
    </sheetView>
  </sheetViews>
  <sheetFormatPr baseColWidth="10" defaultRowHeight="14.5" x14ac:dyDescent="0.35"/>
  <sheetData>
    <row r="2" spans="1:1" x14ac:dyDescent="0.35">
      <c r="A2" s="10"/>
    </row>
    <row r="3" spans="1:1" ht="15.5" x14ac:dyDescent="0.35">
      <c r="A3" s="11" t="s">
        <v>136</v>
      </c>
    </row>
    <row r="4" spans="1:1" ht="15.5" x14ac:dyDescent="0.35">
      <c r="A4" s="11" t="s">
        <v>137</v>
      </c>
    </row>
    <row r="5" spans="1:1" ht="15.5" x14ac:dyDescent="0.35">
      <c r="A5" s="11" t="s">
        <v>138</v>
      </c>
    </row>
    <row r="6" spans="1:1" ht="15.5" x14ac:dyDescent="0.35">
      <c r="A6" s="11" t="s">
        <v>139</v>
      </c>
    </row>
    <row r="7" spans="1:1" ht="15.5" x14ac:dyDescent="0.35">
      <c r="A7" s="11" t="s">
        <v>140</v>
      </c>
    </row>
    <row r="8" spans="1:1" ht="15.5" x14ac:dyDescent="0.35">
      <c r="A8" s="11" t="s">
        <v>141</v>
      </c>
    </row>
    <row r="9" spans="1:1" x14ac:dyDescent="0.35">
      <c r="A9" s="10"/>
    </row>
    <row r="10" spans="1:1" ht="15.5" x14ac:dyDescent="0.35">
      <c r="A10" s="12"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TIPO CONTRIBUYENTE</vt:lpstr>
      <vt:lpstr>CONDICIONALES PARA RETENCIONES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 CASTAÑO</dc:creator>
  <cp:lastModifiedBy>Administrador Finearom</cp:lastModifiedBy>
  <dcterms:created xsi:type="dcterms:W3CDTF">2025-04-21T20:25:06Z</dcterms:created>
  <dcterms:modified xsi:type="dcterms:W3CDTF">2025-04-22T21:56:47Z</dcterms:modified>
</cp:coreProperties>
</file>